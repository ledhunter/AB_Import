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_M1TU6\Downloads\"/>
    </mc:Choice>
  </mc:AlternateContent>
  <xr:revisionPtr revIDLastSave="0" documentId="13_ncr:1_{5DFF1E87-95D9-4E12-8C67-D6EC378B040D}" xr6:coauthVersionLast="36" xr6:coauthVersionMax="36" xr10:uidLastSave="{00000000-0000-0000-0000-000000000000}"/>
  <bookViews>
    <workbookView xWindow="0" yWindow="0" windowWidth="28800" windowHeight="11328" xr2:uid="{792854F3-CDFE-49F3-B73C-2423824C4C7A}"/>
  </bookViews>
  <sheets>
    <sheet name="ГПР" sheetId="1" r:id="rId1"/>
  </sheets>
  <definedNames>
    <definedName name="_" hidden="1">#REF!</definedName>
    <definedName name="____________AS1" hidden="1">{#N/A,#N/A,FALSE,"müş_iç_ihz";#N/A,#N/A,FALSE,"müş_iç_er";#N/A,#N/A,FALSE,"müş_iç_tut"}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AS1" hidden="1">{#N/A,#N/A,FALSE,"müş_iç_ihz";#N/A,#N/A,FALSE,"müş_iç_er";#N/A,#N/A,FALSE,"müş_iç_tut"}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AS1" hidden="1">{#N/A,#N/A,FALSE,"müş_iç_ihz";#N/A,#N/A,FALSE,"müş_iç_er";#N/A,#N/A,FALSE,"müş_iç_tut"}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AS1" hidden="1">{#N/A,#N/A,FALSE,"müş_iç_ihz";#N/A,#N/A,FALSE,"müş_iç_er";#N/A,#N/A,FALSE,"müş_iç_tut"}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S1" hidden="1">{#N/A,#N/A,FALSE,"müş_iç_ihz";#N/A,#N/A,FALSE,"müş_iç_er";#N/A,#N/A,FALSE,"müş_iç_tut"}</definedName>
    <definedName name="____KEY2" hidden="1">#REF!</definedName>
    <definedName name="____mal2" hidden="1">{"'KABA MALZEME'!$B$5:$G$101","'KABA MALZEME'!$B$5:$G$101"}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AS1" hidden="1">{#N/A,#N/A,FALSE,"müş_iç_ihz";#N/A,#N/A,FALSE,"müş_iç_er";#N/A,#N/A,FALSE,"müş_iç_tut"}</definedName>
    <definedName name="___KEY2" hidden="1">#REF!</definedName>
    <definedName name="___mal2" hidden="1">{"'KABA MALZEME'!$B$5:$G$101","'KABA MALZEME'!$B$5:$G$101"}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1__123Graph_AChart_1A" hidden="1">#REF!</definedName>
    <definedName name="__123Graph_BChart" hidden="1">#REF!</definedName>
    <definedName name="__2__123Graph_BChart_1A" hidden="1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hidden="1">{#N/A,#N/A,TRUE,"Cover";#N/A,#N/A,TRUE,"Conts";#N/A,#N/A,TRUE,"VOS";#N/A,#N/A,TRUE,"Warrington";#N/A,#N/A,TRUE,"Widnes"}</definedName>
    <definedName name="__FDS_HYPERLINK_TOGGLE_STATE__" hidden="1">"ON"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mal2" hidden="1">{"'KABA MALZEME'!$B$5:$G$101","'KABA MALZEME'!$B$5:$G$101"}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hidden="1">{#N/A,#N/A,FALSE,"TELEFON"}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xlfn.BAHTTEXT" hidden="1">#NAME?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hidden="1">#REF!</definedName>
    <definedName name="_1__123Graph_AChart_1A" hidden="1">#REF!</definedName>
    <definedName name="_1__123Graph_ACHART_4" hidden="1">#REF!</definedName>
    <definedName name="_10__123Graph_AChart_1AJ" hidden="1">#REF!</definedName>
    <definedName name="_10__123Graph_BChart_1A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1__123Graph_AChart_1AK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_123Graph_AChart_1AL" hidden="1">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__123Graph_CChart_1L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3__123Graph_AChart_1AM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4__123Graph_AChart_1AN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6__123Graph_AChart_1AP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8__123Graph_AChart_1B" hidden="1">#REF!</definedName>
    <definedName name="_18SO" hidden="1">#REF!</definedName>
    <definedName name="_19__123Graph_AChart_1C" hidden="1">#REF!</definedName>
    <definedName name="_1K" hidden="1">#REF!</definedName>
    <definedName name="_2__123Graph_AChart_1AA" hidden="1">#REF!</definedName>
    <definedName name="_2__123Graph_BChart_1A" hidden="1">#REF!</definedName>
    <definedName name="_2__123Graph_XCHART_3" hidden="1">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4__123Graph_AChart_1E" hidden="1">#REF!</definedName>
    <definedName name="_24_0___.0solv" hidden="1">#REF!,#REF!</definedName>
    <definedName name="_25__123Graph_AChart_1F" hidden="1">#REF!</definedName>
    <definedName name="_26__123Graph_AChart_1G" hidden="1">#REF!</definedName>
    <definedName name="_27__123Graph_AChart_1H" hidden="1">#REF!</definedName>
    <definedName name="_28__123Graph_AChart_1I" hidden="1">#REF!</definedName>
    <definedName name="_29__123Graph_AChart_1J" hidden="1">#REF!</definedName>
    <definedName name="_2K" hidden="1">#REF!</definedName>
    <definedName name="_2S" hidden="1">#REF!</definedName>
    <definedName name="_3__123Graph_AChart_1A" hidden="1">#REF!</definedName>
    <definedName name="_3__123Graph_AChart_1AB" hidden="1">#REF!</definedName>
    <definedName name="_3__123Graph_XCHART_4" hidden="1">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4__123Graph_AChart_1AC" hidden="1">#REF!</definedName>
    <definedName name="_4__123Graph_BChart_1A" hidden="1">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S" hidden="1">#REF!</definedName>
    <definedName name="_5__123Graph_AChart_1A" hidden="1">#REF!</definedName>
    <definedName name="_5__123Graph_AChart_1AD" hidden="1">#REF!</definedName>
    <definedName name="_5_0_0K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123Graph_AChart_1AE" hidden="1">#REF!</definedName>
    <definedName name="_6__123Graph_BChart_1A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7__123Graph_AChart_1AF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8__123Graph_AChart_1AG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K" hidden="1">#REF!</definedName>
    <definedName name="_9__123Graph_AChart_1AI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g1" hidden="1">[0]!_ag1</definedName>
    <definedName name="_AS1" hidden="1">{#N/A,#N/A,FALSE,"müş_iç_ihz";#N/A,#N/A,FALSE,"müş_iç_er";#N/A,#N/A,FALSE,"müş_iç_tut"}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hidden="1">{#N/A,#N/A,TRUE,"Cover";#N/A,#N/A,TRUE,"Conts";#N/A,#N/A,TRUE,"VOS";#N/A,#N/A,TRUE,"Warrington";#N/A,#N/A,TRUE,"Widnes"}</definedName>
    <definedName name="_Fill" hidden="1">#REF!</definedName>
    <definedName name="_hk4645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mal2" hidden="1">{"'KABA MALZEME'!$B$5:$G$101","'KABA MALZEME'!$B$5:$G$101"}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hidden="1">{"'Sheet1'!$A$1:$X$25"}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SM2" hidden="1">{#N/A,#N/A,FALSE,"TELEFON"}</definedName>
    <definedName name="_Regression_Int" hidden="1">1</definedName>
    <definedName name="_Regression_Y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ort" hidden="1">#REF!</definedName>
    <definedName name="_sss3" hidden="1">{#N/A,#N/A,FALSE,"ihz. icmal";#N/A,#N/A,FALSE,"avans";#N/A,#N/A,FALSE,"mal_FF_icm";#N/A,#N/A,FALSE,"fat_ihz";#N/A,#N/A,FALSE,"söz_fiy_fark";#N/A,#N/A,FALSE,"kap2"}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hidden="1">{"DELIV.",#N/A,FALSE,"comp";"INV",#N/A,FALSE,"comp"}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[0]!_x1</definedName>
    <definedName name="_xlnm._FilterDatabase" hidden="1">#REF!</definedName>
    <definedName name="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" hidden="1">#REF!</definedName>
    <definedName name="aaaa" hidden="1">{"suhaznesi1icmal",#N/A,FALSE,"shicm";"suhaznesi2icmal",#N/A,FALSE,"shicm";"suhaznesi3icmal",#N/A,FALSE,"shicm"}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{#N/A,#N/A,FALSE,"sıh_iç_ihz";#N/A,#N/A,FALSE,"sıh_iç_er";#N/A,#N/A,FALSE,"sıh_iç_tut"}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df" hidden="1">#REF!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hidden="1">{#N/A,#N/A,FALSE,"TELEFON"}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"C:\My Documents\vlad\Var_2\can270398v2t05.mdb"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BA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hidden="1">#REF!,#REF!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hidden="1">{#N/A,#N/A,FALSE,"Leasing 6A"}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hidden="1">{#N/A,#N/A,FALSE,"NCS INC SCOT";#N/A,#N/A,FALSE,"NCS";#N/A,#N/A,FALSE,"74 NCS";#N/A,#N/A,FALSE,"75 NCS";#N/A,#N/A,FALSE,"76 NCS "}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m" hidden="1">{#N/A,#N/A,FALSE,"TELEFON"}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y" hidden="1">{#N/A,#N/A,FALSE,"sıh_iç_ihz";#N/A,#N/A,FALSE,"sıh_iç_er";#N/A,#N/A,FALSE,"sıh_iç_tut"}</definedName>
    <definedName name="al" hidden="1">#REF!</definedName>
    <definedName name="allah" hidden="1">#REF!</definedName>
    <definedName name="anscount" hidden="1">1</definedName>
    <definedName name="appraisal" hidden="1">{#N/A,#N/A,TRUE,"Cover";#N/A,#N/A,TRUE,"Conts";#N/A,#N/A,TRUE,"VOS";#N/A,#N/A,TRUE,"Warrington";#N/A,#N/A,TRUE,"Widnes"}</definedName>
    <definedName name="apr" hidden="1">{"'РП (2)'!$A$5:$S$150"}</definedName>
    <definedName name="aqw" hidden="1">{#N/A,#N/A,FALSE,"SUBS";#N/A,#N/A,FALSE,"SUPERS";#N/A,#N/A,FALSE,"FINISHES";#N/A,#N/A,FALSE,"FITTINGS";#N/A,#N/A,FALSE,"SERVICES";#N/A,#N/A,FALSE,"SITEWORKS"}</definedName>
    <definedName name="aqww" hidden="1">{"mekanik1fiyat",#N/A,FALSE,"mktfiyat";"mekanik2fiyat",#N/A,FALSE,"mktfiyat"}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hidden="1">{"mekanik1fiyat",#N/A,FALSE,"mktfiyat";"mekanik2fiyat",#N/A,FALSE,"mktfiyat"}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hidden="1">{#N/A,#N/A,FALSE,"ihz. icmal";#N/A,#N/A,FALSE,"avans";#N/A,#N/A,FALSE,"mal_FF_icm";#N/A,#N/A,FALSE,"fat_ihz";#N/A,#N/A,FALSE,"söz_fiy_fark";#N/A,#N/A,FALSE,"kap2"}</definedName>
    <definedName name="asasas" hidden="1">{#VALUE!,#N/A,TRUE,0;#N/A,#N/A,TRUE,0;#N/A,#N/A,TRUE,0;#N/A,#N/A,TRUE,0;#N/A,#N/A,TRUE,0;#N/A,#N/A,TRUE,0;#N/A,#N/A,TRUE,0}</definedName>
    <definedName name="asasasa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d" hidden="1">{"trafo1fiyat",#N/A,FALSE,"trafofiyat"}</definedName>
    <definedName name="asdadsasdasd" hidden="1">#REF!</definedName>
    <definedName name="asdasd" hidden="1">{#N/A,#N/A,FALSE,"Ejector 1";#N/A,#N/A,FALSE,"Ejector 2"}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hidden="1">{#N/A,#N/A,FALSE,"ihz. icmal";#N/A,#N/A,FALSE,"avans";#N/A,#N/A,FALSE,"mal_FF_icm";#N/A,#N/A,FALSE,"fat_ihz";#N/A,#N/A,FALSE,"söz_fiy_fark";#N/A,#N/A,FALSE,"kap2"}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hidden="1">{"'РП (2)'!$A$5:$S$150"}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hidden="1">{#N/A,#N/A,FALSE,"TELEFON"}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hidden="1">#REF!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S" hidden="1">{#N/A,#N/A,FALSE,"Ejector 1";#N/A,#N/A,FALSE,"Ejector 2"}</definedName>
    <definedName name="atdh" hidden="1">{#N/A,#N/A,FALSE,"Расчет вспомогательных"}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hidden="1">{"elektrik1fiyat",#N/A,FALSE,"elcfiyat";"elektrik2fiyat",#N/A,FALSE,"elcfiyat";"elektrik3fiyat",#N/A,FALSE,"elcfiyat"}</definedName>
    <definedName name="b" hidden="1">{#N/A,#N/A,TRUE,"Cover";#N/A,#N/A,TRUE,"Conts";#N/A,#N/A,TRUE,"VOS";#N/A,#N/A,TRUE,"Warrington";#N/A,#N/A,TRUE,"Widnes"}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ERK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kaj" hidden="1">{"mekanik1fiyat",#N/A,FALSE,"mktfiyat";"mekanik2fiyat",#N/A,FALSE,"mktfiyat"}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hidden="1">#REF!</definedName>
    <definedName name="BV" hidden="1">#REF!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shfl" hidden="1">{#N/A,#N/A,TRUE,"Cover";#N/A,#N/A,TRUE,"Conts";#N/A,#N/A,TRUE,"VOS";#N/A,#N/A,TRUE,"Warrington";#N/A,#N/A,TRUE,"Widnes"}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hidden="1">{#N/A,#N/A,FALSE,"sıh_iç_ihz";#N/A,#N/A,FALSE,"sıh_iç_er";#N/A,#N/A,FALSE,"sıh_iç_tut"}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hidden="1">{#N/A,#N/A,TRUE,"Cover";#N/A,#N/A,TRUE,"Conts";#N/A,#N/A,TRUE,"VOS";#N/A,#N/A,TRUE,"Warrington";#N/A,#N/A,TRUE,"Widnes"}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ontrol" hidden="1">{"'РП (2)'!$A$5:$S$150"}</definedName>
    <definedName name="COVER1" hidden="1">{#N/A,#N/A,FALSE,"Ejector 1";#N/A,#N/A,FALSE,"Ejector 2"}</definedName>
    <definedName name="cu" hidden="1">{#N/A,#N/A,FALSE,"kal_iç_ihz";#N/A,#N/A,FALSE,"kal_iç_er";#N/A,#N/A,FALSE,"kal_iç_tut"}</definedName>
    <definedName name="cxz" hidden="1">#REF!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sdasd" hidden="1">{#N/A,#N/A,FALSE,"ihz. icmal";#N/A,#N/A,FALSE,"avans";#N/A,#N/A,FALSE,"mal_FF_icm";#N/A,#N/A,FALSE,"fat_ihz";#N/A,#N/A,FALSE,"söz_fiy_fark";#N/A,#N/A,FALSE,"kap2"}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hidden="1">{"terfi1icmal",#N/A,FALSE,"tericm";"terfi2icmal",#N/A,FALSE,"tericm";"terfi3icmal",#N/A,FALSE,"tericm"}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hidden="1">{#N/A,#N/A,FALSE,"Ejector 1";#N/A,#N/A,FALSE,"Ejector 2"}</definedName>
    <definedName name="deee" hidden="1">{#N/A,#N/A,FALSE,"ihz. icmal";#N/A,#N/A,FALSE,"avans";#N/A,#N/A,FALSE,"mal_FF_icm";#N/A,#N/A,FALSE,"fat_ihz";#N/A,#N/A,FALSE,"söz_fiy_fark";#N/A,#N/A,FALSE,"kap2"}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hidden="1">{#N/A,#N/A,FALSE,"kal_iç_ihz";#N/A,#N/A,FALSE,"kal_iç_er";#N/A,#N/A,FALSE,"kal_iç_tut"}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sdfsdf" hidden="1">{#VALUE!,#N/A,FALSE,0;#N/A,#N/A,FALSE,0;#N/A,#N/A,FALSE,0;#N/A,#N/A,FALSE,0;#N/A,#N/A,FALSE,0;#N/A,#N/A,FALSE,0;#N/A,#N/A,FALSE,0}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hidden="1">{"suhaznesi1fiyat",#N/A,FALSE,"shfiyat";"suhaznesi2fiyat",#N/A,FALSE,"shfiyat"}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sdfdf" hidden="1">{#VALUE!,#N/A,TRUE,0;#N/A,#N/A,TRUE,0;#N/A,#N/A,TRUE,0;#N/A,#N/A,TRUE,0;#N/A,#N/A,TRUE,0;#N/A,#N/A,TRUE,0;#N/A,#N/A,TRUE,0}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hidden="1">{#N/A,#N/A,FALSE,"TELEFON"}</definedName>
    <definedName name="e" hidden="1">#REF!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hidden="1">{#N/A,#N/A,FALSE,"kal_iç_ihz";#N/A,#N/A,FALSE,"kal_iç_er";#N/A,#N/A,FALSE,"kal_iç_tut"}</definedName>
    <definedName name="eatüa" hidden="1">{#VALUE!,#N/A,FALSE,0;#N/A,#N/A,FALSE,0;#N/A,#N/A,FALSE,0;#N/A,#N/A,FALSE,0}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hidden="1">{"mekanik1fiyat",#N/A,FALSE,"mktfiyat";"mekanik2fiyat",#N/A,FALSE,"mktfiyat"}</definedName>
    <definedName name="edcxsw" hidden="1">{"elektrik1fiyat",#N/A,FALSE,"elcfiyat";"elektrik2fiyat",#N/A,FALSE,"elcfiyat";"elektrik3fiyat",#N/A,FALSE,"elcfiyat"}</definedName>
    <definedName name="edf" hidden="1">{#N/A,#N/A,FALSE,"ihz. icmal";#N/A,#N/A,FALSE,"avans";#N/A,#N/A,FALSE,"mal_FF_icm";#N/A,#N/A,FALSE,"fat_ihz";#N/A,#N/A,FALSE,"söz_fiy_fark";#N/A,#N/A,FALSE,"kap2"}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hidden="1">{"'Sheet1'!$A$1:$X$25"}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wef" hidden="1">#REF!</definedName>
    <definedName name="Ele" hidden="1">{"'Break down'!$A$4"}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rcan" hidden="1">#REF!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hidden="1">{"elektrik1fiyat",#N/A,FALSE,"elcfiyat";"elektrik2fiyat",#N/A,FALSE,"elcfiyat";"elektrik3fiyat",#N/A,FALSE,"elcfiyat"}</definedName>
    <definedName name="ers" hidden="1">#REF!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hidden="1">{#VALUE!,#N/A,FALSE,0;#N/A,#N/A,FALSE,0;#N/A,#N/A,FALSE,0;#N/A,#N/A,FALSE,0;#N/A,#N/A,FALSE,0}</definedName>
    <definedName name="estimateb" hidden="1">{#N/A,#N/A,TRUE,"Cover";#N/A,#N/A,TRUE,"Conts";#N/A,#N/A,TRUE,"VOS";#N/A,#N/A,TRUE,"Warrington";#N/A,#N/A,TRUE,"Widnes"}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hidden="1">{#VALUE!,#N/A,TRUE,0;#N/A,#N/A,TRUE,0;#N/A,#N/A,TRUE,0;#N/A,#N/A,TRUE,0;#N/A,#N/A,TRUE,0;#N/A,#N/A,TRUE,0;#N/A,#N/A,TRUE,0}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errsegersg" hidden="1">{"trafo1fiyat",#N/A,FALSE,"trafofiyat"}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hidden="1">{#VALUE!,#N/A,FALSE,0;#N/A,#N/A,FALSE,0;#N/A,#N/A,FALSE,0;#N/A,#N/A,FALSE,0;#N/A,#N/A,FALSE,0;#N/A,#N/A,FALSE,0;#N/A,#N/A,FALSE,0;#N/A,#N/A,FALSE,0}</definedName>
    <definedName name="ff" hidden="1">#REF!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ngfn" hidden="1">{"taşkınsuyu1icmal",#N/A,FALSE,"tsicm";"taşkınsuyu2icmal",#N/A,FALSE,"tsicm"}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hidden="1">{#N/A,#N/A,FALSE,"Ejector 1";#N/A,#N/A,FALSE,"Ejector 2"}</definedName>
    <definedName name="fre" hidden="1">{#N/A,#N/A,TRUE,"Cover";#N/A,#N/A,TRUE,"Conts";#N/A,#N/A,TRUE,"VOS";#N/A,#N/A,TRUE,"Warrington";#N/A,#N/A,TRUE,"Widnes"}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ğ" hidden="1">{"çewre1icmal",#N/A,FALSE,"çticm";"çewre2icmal",#N/A,FALSE,"çticm"}</definedName>
    <definedName name="G2G2G" hidden="1">{#N/A,#N/A,FALSE,"TELEFON"}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fghfgh" hidden="1">{#VALUE!,#N/A,FALSE,0;#N/A,#N/A,FALSE,0;#N/A,#N/A,FALSE,0;#N/A,#N/A,FALSE,0;#N/A,#N/A,FALSE,0;#N/A,#N/A,FALSE,0;#N/A,#N/A,FALSE,0;#N/A,#N/A,FALSE,0}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ngfn" hidden="1">{"suhaznesi1icmal",#N/A,FALSE,"shicm";"suhaznesi2icmal",#N/A,FALSE,"shicm";"suhaznesi3icmal",#N/A,FALSE,"shicm"}</definedName>
    <definedName name="ghyt" hidden="1">{#N/A,#N/A,FALSE,"SUBS";#N/A,#N/A,FALSE,"SUPERS";#N/A,#N/A,FALSE,"FINISHES";#N/A,#N/A,FALSE,"FITTINGS";#N/A,#N/A,FALSE,"SERVICES";#N/A,#N/A,FALSE,"SITEWORKS"}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hidden="1">{#N/A,#N/A,FALSE,"TELEFON"}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hidden="1">{"'KABA MALZEME'!$B$5:$G$101","'KABA MALZEME'!$B$5:$G$101"}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hidden="1">{#VALUE!,#N/A,TRUE,0;#N/A,#N/A,TRUE,0;#N/A,#N/A,TRUE,0;#N/A,#N/A,TRUE,0;#N/A,#N/A,TRUE,0;#N/A,#N/A,TRUE,0;#N/A,#N/A,TRUE,0}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hidden="1">{#N/A,#N/A,FALSE,"kal_iç_ihz";#N/A,#N/A,FALSE,"kal_iç_er";#N/A,#N/A,FALSE,"kal_iç_tut"}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ML_CodePage" hidden="1">9</definedName>
    <definedName name="HTML_Control" hidden="1">{"'Break down'!$A$4"}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" hidden="1">{"trafo1icmal",#N/A,FALSE,"trafoicmal";"trafo2icmal",#N/A,FALSE,"trafoicmal"}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hidden="1">{"taşkınsuyu1fiyat",#N/A,FALSE,"tsfiyat"}</definedName>
    <definedName name="iCMAL" hidden="1">{"'KABA MALZEME'!$B$5:$G$101","'KABA MALZEME'!$B$5:$G$101"}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hidden="1">{#N/A,#N/A,FALSE,"kal_iç_ihz";#N/A,#N/A,FALSE,"kal_iç_er";#N/A,#N/A,FALSE,"kal_iç_tut"}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IPŞYK" hidden="1">{"'Cash Requirements 5F '!$A$1:$AC$48"}</definedName>
    <definedName name="ııuu" hidden="1">{#N/A,#N/A,FALSE,"kal_iç_ihz";#N/A,#N/A,FALSE,"kal_iç_er";#N/A,#N/A,FALSE,"kal_iç_tut"}</definedName>
    <definedName name="ıjn" hidden="1">{"taşkınsuyu1icmal",#N/A,FALSE,"tsicm";"taşkınsuyu2icmal",#N/A,FALSE,"tsicm"}</definedName>
    <definedName name="ıkö" hidden="1">{"trafo1fiyat",#N/A,FALSE,"trafofiyat"}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hidden="1">{"trafo1icmal",#N/A,FALSE,"trafoicmal";"trafo2icmal",#N/A,FALSE,"trafoicmal"}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hidden="1">{#VALUE!,#N/A,FALSE,0;#N/A,#N/A,FALSE,0;#N/A,#N/A,FALSE,0;#N/A,#N/A,FALSE,0;#N/A,#N/A,FALSE,0;#N/A,#N/A,FALSE,0;#N/A,#N/A,FALSE,0}</definedName>
    <definedName name="IQ_ADDIN" hidden="1">"AUTO"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" hidden="1">{"çewre1icmal",#N/A,FALSE,"çticm";"çewre2icmal",#N/A,FALSE,"çticm"}</definedName>
    <definedName name="ıuıı" hidden="1">{#N/A,#N/A,FALSE,"müş_iç_ihz";#N/A,#N/A,FALSE,"müş_iç_er";#N/A,#N/A,FALSE,"müş_iç_tut"}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ıyıı" hidden="1">{#N/A,#N/A,FALSE,"elk_iç_er";#N/A,#N/A,FALSE,"elk_iç_tut";#N/A,#N/A,FALSE,"elk_iç_ihz"}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h" hidden="1">{#N/A,#N/A,FALSE,"Расчет вспомогательных"}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j" hidden="1">{#N/A,#N/A,FALSE,"müş_iç_ihz";#N/A,#N/A,FALSE,"müş_iç_er";#N/A,#N/A,FALSE,"müş_iç_tut"}</definedName>
    <definedName name="jjjjj" hidden="1">{#N/A,#N/A,FALSE,"sıh_iç_ihz";#N/A,#N/A,FALSE,"sıh_iç_er";#N/A,#N/A,FALSE,"sıh_iç_tut"}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jkhkj" hidden="1">{#VALUE!,#N/A,FALSE,0;#N/A,#N/A,FALSE,0;#N/A,#N/A,FALSE,0;#N/A,#N/A,FALSE,0;#N/A,#N/A,FALSE,0;#N/A,#N/A,FALSE,0;#N/A,#N/A,FALSE,0}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BNT" hidden="1">{"'РП (2)'!$A$5:$S$150"}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ı" hidden="1">{"mekanik1fiyat",#N/A,FALSE,"mktfiyat";"mekanik2fiyat",#N/A,FALSE,"mktfiyat"}</definedName>
    <definedName name="kjhkhjkhjkjk" hidden="1">{#VALUE!,#N/A,FALSE,0;#N/A,#N/A,FALSE,0;#N/A,#N/A,FALSE,0;#N/A,#N/A,FALSE,0;#N/A,#N/A,FALSE,0;#N/A,#N/A,FALSE,0;#N/A,#N/A,FALSE,0;#N/A,#N/A,FALSE,0}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ck" hidden="1">{#VALUE!,#N/A,TRUE,0;#N/A,#N/A,TRUE,0;#N/A,#N/A,TRUE,0;#N/A,#N/A,TRUE,0;#N/A,#N/A,TRUE,0;#N/A,#N/A,TRUE,0;#N/A,#N/A,TRUE,0}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hidden="1">{#VALUE!,#N/A,TRUE,0;#N/A,#N/A,TRUE,0;#N/A,#N/A,TRUE,0;#N/A,#N/A,TRUE,0;#N/A,#N/A,TRUE,0;#N/A,#N/A,TRUE,0;#N/A,#N/A,TRUE,0}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uıkuk" hidden="1">{#VALUE!,#N/A,TRUE,0;#N/A,#N/A,TRUE,0;#N/A,#N/A,TRUE,0;#N/A,#N/A,TRUE,0;#N/A,#N/A,TRUE,0;#N/A,#N/A,TRUE,0;#N/A,#N/A,TRUE,0}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K" hidden="1">{"suhaznesi1fiyat",#N/A,FALSE,"shfiyat";"suhaznesi2fiyat",#N/A,FALSE,"shfiyat"}</definedName>
    <definedName name="lkjljkljkl" hidden="1">{#VALUE!,#N/A,TRUE,0;#N/A,#N/A,TRUE,0;#N/A,#N/A,TRUE,0;#N/A,#N/A,TRUE,0;#N/A,#N/A,TRUE,0;#N/A,#N/A,TRUE,0;#N/A,#N/A,TRUE,0}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hidden="1">{#N/A,#N/A,FALSE,"kal_iç_ihz";#N/A,#N/A,FALSE,"kal_iç_er";#N/A,#N/A,FALSE,"kal_iç_tut"}</definedName>
    <definedName name="lo" hidden="1">{"çewre1icmal",#N/A,FALSE,"çticm";"çewre2icmal",#N/A,FALSE,"çticm"}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hidden="1">#REF!</definedName>
    <definedName name="MCL_sheet_inc" hidden="1">{"'Sheet1'!$A$1:$X$25"}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hidden="1">#REF!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hidden="1">{#N/A,#N/A,FALSE,"TELEFON"}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tgbfr" hidden="1">{"çewre1fiyat",#N/A,FALSE,"çtfiyat";"çewre2fiyat",#N/A,FALSE,"çtfiyat"}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hidden="1">{"'KABA MALZEME'!$B$5:$G$101","'KABA MALZEME'!$B$5:$G$101"}</definedName>
    <definedName name="nrnr2" hidden="1">{"'KABA MALZEME'!$B$5:$G$101","'KABA MALZEME'!$B$5:$G$101"}</definedName>
    <definedName name="nrnr6" hidden="1">{"'KABA MALZEME'!$B$5:$G$101","'KABA MALZEME'!$B$5:$G$101"}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öççç" hidden="1">{#N/A,#N/A,FALSE,"kal_iç_ihz";#N/A,#N/A,FALSE,"kal_iç_er";#N/A,#N/A,FALSE,"kal_iç_tut"}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km" hidden="1">{"suhaznesi1icmal",#N/A,FALSE,"shicm";"suhaznesi2icmal",#N/A,FALSE,"shicm";"suhaznesi3icmal",#N/A,FALSE,"shicm"}</definedName>
    <definedName name="oks" hidden="1">#REF!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hidden="1">{"çewre1icmal",#N/A,FALSE,"çticm";"çewre2icmal",#N/A,FALSE,"çticm"}</definedName>
    <definedName name="olo" hidden="1">#REF!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ööö" hidden="1">{#N/A,#N/A,FALSE,"12.21";#N/A,#N/A,FALSE,"12.10";#N/A,#N/A,FALSE,"3";#N/A,#N/A,FALSE,"2";#N/A,#N/A,FALSE,"1"}</definedName>
    <definedName name="OSM" hidden="1">{#N/A,#N/A,FALSE,"TELEFON"}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hidden="1">{#N/A,#N/A,FALSE,"kal_iç_ihz";#N/A,#N/A,FALSE,"kal_iç_er";#N/A,#N/A,FALSE,"kal_iç_tut"}</definedName>
    <definedName name="pc" hidden="1">{#N/A,#N/A,FALSE,"elk_iç_er";#N/A,#N/A,FALSE,"elk_iç_tut";#N/A,#N/A,FALSE,"elk_iç_ihz"}</definedName>
    <definedName name="pğ" hidden="1">{"elektrik1fiyat",#N/A,FALSE,"elcfiyat";"elektrik2fiyat",#N/A,FALSE,"elcfiyat";"elektrik3fiyat",#N/A,FALSE,"elcfiyat"}</definedName>
    <definedName name="pln" hidden="1">{"'РП (2)'!$A$5:$S$150"}</definedName>
    <definedName name="plö" hidden="1">{"mekanik1icmal",#N/A,FALSE,"mkticm";"mekanik2icmal",#N/A,FALSE,"mkticm";"mekanik3icmal",#N/A,FALSE,"mkticm"}</definedName>
    <definedName name="PO" hidden="1">{#N/A,#N/A,FALSE,"Ejector 1";#N/A,#N/A,FALSE,"Ejector 2"}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hidden="1">{"taşkınsuyu1fiyat",#N/A,FALSE,"tsfiyat"}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int_out" hidden="1">{#N/A,#N/A,FALSE,"Broker Sheet";#N/A,#N/A,FALSE,"Exec.Summary";#N/A,#N/A,FALSE,"Argus Cash Flow";#N/A,#N/A,FALSE,"SPF";#N/A,#N/A,FALSE,"RentRoll"}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UB_UserID" hidden="1">"MAYERX"</definedName>
    <definedName name="q" hidden="1">{"Inflation-BaseYear",#N/A,FALSE,"Inputs"}</definedName>
    <definedName name="qa" hidden="1">{#N/A,#N/A,FALSE,"kal_iç_ihz";#N/A,#N/A,FALSE,"kal_iç_er";#N/A,#N/A,FALSE,"kal_iç_tut"}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gqrg" hidden="1">{#N/A,#N/A,FALSE,"SUMMARY 4a";#N/A,#N/A,FALSE,"GBA 4b";#N/A,#N/A,FALSE,"TENANT 4c";#N/A,#N/A,FALSE,"BUDGET DETAIL";#N/A,#N/A,FALSE,"PRO FORMA"}</definedName>
    <definedName name="qgqg" hidden="1">{#N/A,#N/A,FALSE,"Leasing 6A"}</definedName>
    <definedName name="qq" hidden="1">{#N/A,#N/A,FALSE,"maff_h1";#N/A,#N/A,FALSE,"maff_h2";#N/A,#N/A,FALSE,"maff_h3";#N/A,#N/A,FALSE,"maff_h4";#N/A,#N/A,FALSE,"maff_h5";#N/A,#N/A,FALSE,"maff_h6";#N/A,#N/A,FALSE,"maff_h7"}</definedName>
    <definedName name="qqq" hidden="1">{"Output-3Column",#N/A,FALSE,"Output"}</definedName>
    <definedName name="qqqqqq" hidden="1">{"Output-BaseYear",#N/A,FALSE,"Output"}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{#N/A,#N/A,TRUE,"Cover";#N/A,#N/A,TRUE,"Conts";#N/A,#N/A,TRUE,"VOS";#N/A,#N/A,TRUE,"Warrington";#N/A,#N/A,TRUE,"Widnes"}</definedName>
    <definedName name="qwerty" hidden="1">{"'РП (2)'!$A$5:$S$150"}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RE" hidden="1">{#N/A,#N/A,FALSE,"kal_iç_ihz";#N/A,#N/A,FALSE,"kal_iç_er";#N/A,#N/A,FALSE,"kal_iç_tut"}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hidden="1">{"'РП (2)'!$A$5:$S$150"}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hidden="1">{#N/A,#N/A,FALSE,"NCS INC SCOT";#N/A,#N/A,FALSE,"NCS";#N/A,#N/A,FALSE,"74 NCS";#N/A,#N/A,FALSE,"75 NCS";#N/A,#N/A,FALSE,"76 NCS 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hidden="1">{#N/A,#N/A,FALSE,"kal_iç_ihz";#N/A,#N/A,FALSE,"kal_iç_er";#N/A,#N/A,FALSE,"kal_iç_tut"}</definedName>
    <definedName name="rouble3" hidden="1">#REF!</definedName>
    <definedName name="rouble5" hidden="1">#REF!</definedName>
    <definedName name="rr" hidden="1">{#N/A,#N/A,FALSE,"Aging Summary";#N/A,#N/A,FALSE,"Ratio Analysis";#N/A,#N/A,FALSE,"Test 120 Day Accts";#N/A,#N/A,FALSE,"Tickmarks"}</definedName>
    <definedName name="rrrrrrrrrrrr" hidden="1">#REF!</definedName>
    <definedName name="rrrrrrrrrrrrrrrrrrrrrrrrrrr" hidden="1">#REF!</definedName>
    <definedName name="rt" hidden="1">#REF!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RETRETRET" hidden="1">{#VALUE!,#N/A,TRUE,0;#N/A,#N/A,TRUE,0;#N/A,#N/A,TRUE,0;#N/A,#N/A,TRUE,0;#N/A,#N/A,TRUE,0;#N/A,#N/A,TRUE,0;#N/A,#N/A,TRUE,0}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wgWEG" hidden="1">{#N/A,#N/A,FALSE,"Leasing 6A"}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hidden="1">{#VALUE!,#N/A,TRUE,0;#N/A,#N/A,TRUE,0;#N/A,#N/A,TRUE,0}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ASAS" hidden="1">#REF!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hidden="1">{"suhaznesi1fiyat",#N/A,FALSE,"shfiyat";"suhaznesi2fiyat",#N/A,FALSE,"shfiyat"}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hidden="1">{#VALUE!,#N/A,FALSE,0;#N/A,#N/A,FALSE,0;#N/A,#N/A,FALSE,0;#N/A,#N/A,FALSE,0;#N/A,#N/A,FALSE,0}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e" hidden="1">{#N/A,#N/A,FALSE,"maff_h1";#N/A,#N/A,FALSE,"maff_h2";#N/A,#N/A,FALSE,"maff_h3";#N/A,#N/A,FALSE,"maff_h4";#N/A,#N/A,FALSE,"maff_h5";#N/A,#N/A,FALSE,"maff_h6";#N/A,#N/A,FALSE,"maff_h7"}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Wg" hidden="1">{#N/A,#N/A,FALSE,"SUMMARY 4a";#N/A,#N/A,FALSE,"GBA 4b";#N/A,#N/A,FALSE,"TENANT 4c";#N/A,#N/A,FALSE,"BUDGET DETAIL";#N/A,#N/A,FALSE,"PRO FORMA"}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yp" hidden="1">3</definedName>
    <definedName name="solver_val" hidden="1">22000000000</definedName>
    <definedName name="SORT1" hidden="1">#REF!</definedName>
    <definedName name="şp" hidden="1">{"mekanik1icmal",#N/A,FALSE,"mkticm";"mekanik2icmal",#N/A,FALSE,"mkticm";"mekanik3icmal",#N/A,FALSE,"mkticm"}</definedName>
    <definedName name="sr" hidden="1">#REF!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" hidden="1">{"'РП (2)'!$A$5:$S$150"}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hidden="1">{"çewre1icmal",#N/A,FALSE,"çticm";"çewre2icmal",#N/A,FALSE,"çticm"}</definedName>
    <definedName name="sssss" hidden="1">#N/A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hidden="1">{#N/A,#N/A,FALSE,"ihz. icmal";#N/A,#N/A,FALSE,"avans";#N/A,#N/A,FALSE,"mal_FF_icm";#N/A,#N/A,FALSE,"fat_ihz";#N/A,#N/A,FALSE,"söz_fiy_fark";#N/A,#N/A,FALSE,"kap2"}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hidden="1">{#N/A,#N/A,FALSE,"elk_iç_er";#N/A,#N/A,FALSE,"elk_iç_tut";#N/A,#N/A,FALSE,"elk_iç_ihz"}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emp" hidden="1">{"'Break down'!$A$4"}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xtRefCopyRangeCount" hidden="1">4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hidden="1">{"suhaznesi1fiyat",#N/A,FALSE,"shfiyat";"suhaznesi2fiyat",#N/A,FALSE,"shfiyat"}</definedName>
    <definedName name="tgvvcxsd" hidden="1">{"trafo1icmal",#N/A,FALSE,"trafoicmal";"trafo2icmal",#N/A,FALSE,"trafoicmal"}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hidden="1">{"'Break down'!$A$4"}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hidden="1">{#N/A,#N/A,FALSE,"kal_iç_ihz";#N/A,#N/A,FALSE,"kal_iç_er";#N/A,#N/A,FALSE,"kal_iç_tut"}</definedName>
    <definedName name="trwtewer" hidden="1">{#VALUE!,#N/A,TRUE,0;#N/A,#N/A,TRUE,0;#N/A,#N/A,TRUE,0;#N/A,#N/A,TRUE,0;#N/A,#N/A,TRUE,0;#N/A,#N/A,TRUE,0;#N/A,#N/A,TRUE,0}</definedName>
    <definedName name="tt" hidden="1">{#VALUE!,#N/A,FALSE,0;#N/A,#N/A,FALSE,0;#N/A,#N/A,FALSE,0;#N/A,#N/A,FALSE,0;#N/A,#N/A,FALSE,0}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uiop" hidden="1">{#N/A,#N/A,FALSE,"SUBS";#N/A,#N/A,FALSE,"SUPERS";#N/A,#N/A,FALSE,"FINISHES";#N/A,#N/A,FALSE,"FITTINGS";#N/A,#N/A,FALSE,"SERVICES";#N/A,#N/A,FALSE,"SITEWORKS"}</definedName>
    <definedName name="TURGUT" hidden="1">{"turbine",#N/A,FALSE,"Option"}</definedName>
    <definedName name="turgutac" hidden="1">{#N/A,#N/A,TRUE,"arnitower";#N/A,#N/A,TRUE,"arnigarage "}</definedName>
    <definedName name="tüt" hidden="1">{#N/A,#N/A,FALSE,0;#N/A,#N/A,FALSE,0;#N/A,#N/A,FALSE,0}</definedName>
    <definedName name="ty" hidden="1">{#N/A,#N/A,FALSE,"SUBS";#N/A,#N/A,FALSE,"SUPERS";#N/A,#N/A,FALSE,"FINISHES";#N/A,#N/A,FALSE,"FITTINGS";#N/A,#N/A,FALSE,"SERVICES";#N/A,#N/A,FALSE,"SITEWORKS"}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üa" hidden="1">{#VALUE!,#N/A,TRUE,0;#N/A,#N/A,TRUE,0;#N/A,#N/A,TRUE,0;#N/A,#N/A,TRUE,0;#N/A,#N/A,TRUE,0;#N/A,#N/A,TRUE,0;#N/A,#N/A,TRUE,0}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hidden="1">{"terfi1icmal",#N/A,FALSE,"tericm";"terfi2icmal",#N/A,FALSE,"tericm";"terfi3icmal",#N/A,FALSE,"tericm"}</definedName>
    <definedName name="ui" hidden="1">#REF!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hidden="1">{#N/A,#N/A,FALSE,"SUBS";#N/A,#N/A,FALSE,"SUPERS";#N/A,#N/A,FALSE,"FINISHES";#N/A,#N/A,FALSE,"FITTINGS";#N/A,#N/A,FALSE,"SERVICES";#N/A,#N/A,FALSE,"SITEWORKS"}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hidden="1">{"terfi1fiyat",#N/A,FALSE,"terfiyat";"terfi2fiyat",#N/A,FALSE,"terfiyat"}</definedName>
    <definedName name="uk" hidden="1">#REF!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hidden="1">{#N/A,#N/A,FALSE,"müş_iç_ihz";#N/A,#N/A,FALSE,"müş_iç_er";#N/A,#N/A,FALSE,"müş_iç_tut"}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hidden="1">{#VALUE!,#N/A,TRUE,0;#N/A,#N/A,TRUE,0;#N/A,#N/A,TRUE,0;#N/A,#N/A,TRUE,0;#N/A,#N/A,TRUE,0;#N/A,#N/A,TRUE,0;#N/A,#N/A,TRUE,0}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{#N/A,#N/A,TRUE,"Cover";#N/A,#N/A,TRUE,"Conts";#N/A,#N/A,TRUE,"VOS";#N/A,#N/A,TRUE,"Warrington";#N/A,#N/A,TRUE,"Widnes"}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vfv" hidden="1">{#N/A,#N/A,FALSE,"Broker Sheet";#N/A,#N/A,FALSE,"Exec.Summary";#N/A,#N/A,FALSE,"Argus Cash Flow";#N/A,#N/A,FALSE,"SPF";#N/A,#N/A,FALSE,"RentRoll"}</definedName>
    <definedName name="Vntz" hidden="1">#REF!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efwef" hidden="1">#REF!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hidden="1">{#N/A,#N/A,FALSE,"Broker Sheet";#N/A,#N/A,FALSE,"Exec.Summary";#N/A,#N/A,FALSE,"Argus Cash Flow";#N/A,#N/A,FALSE,"SPF";#N/A,#N/A,FALSE,"RentRoll"}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hidden="1">{#VALUE!,#N/A,FALSE,0;#N/A,#N/A,FALSE,0;#N/A,#N/A,FALSE,0;#N/A,#N/A,FALSE,0}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hidden="1">{#N/A,#N/A,FALSE,"müş_iç_ihz";#N/A,#N/A,FALSE,"müş_iç_er";#N/A,#N/A,FALSE,"müş_iç_tut"}</definedName>
    <definedName name="wqq" hidden="1">{#N/A,#N/A,FALSE,"elk_iç_er";#N/A,#N/A,FALSE,"elk_iç_tut";#N/A,#N/A,FALSE,"elk_iç_ihz"}</definedName>
    <definedName name="wqwqw" hidden="1">{#VALUE!,#N/A,TRUE,0;#N/A,#N/A,TRUE,0;#N/A,#N/A,TRUE,0;#N/A,#N/A,TRUE,0;#N/A,#N/A,TRUE,0;#N/A,#N/A,TRUE,0;#N/A,#N/A,TRUE,0}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" hidden="1">{"glc1",#N/A,FALSE,"GLC";"glc2",#N/A,FALSE,"GLC";"glc3",#N/A,FALSE,"GLC";"glc4",#N/A,FALSE,"GLC";"glc5",#N/A,FALSE,"GLC"}</definedName>
    <definedName name="wrn.1." hidden="1">{#N/A,#N/A,FALSE,"Расчет вспомогательных"}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A." hidden="1">{#VALUE!,#N/A,FALSE,0;#N/A,#N/A,FALSE,0;#N/A,#N/A,FALSE,0;#N/A,#N/A,FALSE,0;#N/A,#N/A,FALSE,0}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HMET." hidden="1">{#VALUE!,#N/A,FALSE,0;#N/A,#N/A,FALSE,0;#N/A,#N/A,FALSE,0;#N/A,#N/A,FALSE,0}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hidden="1">{#N/A,#N/A,FALSE,"WBS 1.06";#N/A,#N/A,FALSE,"WBS 1.14";#N/A,#N/A,FALSE,"WBS 1.17";#N/A,#N/A,FALSE,"WBS 1.18"}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hidden="1">{#VALUE!,#N/A,FALSE,0;#N/A,#N/A,FALSE,0;#N/A,#N/A,FALSE,0;#N/A,#N/A,FALSE,0;#N/A,#N/A,FALSE,0;#N/A,#N/A,FALSE,0}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yatçewre." hidden="1">{"çewre1fiyat",#N/A,FALSE,"çtfiyat";"çewre2fiyat",#N/A,FALSE,"çtfiyat"}</definedName>
    <definedName name="wrn.fiyatelektrik." hidden="1">{"elektrik1fiyat",#N/A,FALSE,"elcfiyat";"elektrik2fiyat",#N/A,FALSE,"elcfiyat";"elektrik3fiyat",#N/A,FALSE,"elcfiyat"}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hidden="1">{"mekanik1fiyat",#N/A,FALSE,"mktfiyat";"mekanik2fiyat",#N/A,FALSE,"mktfiyat"}</definedName>
    <definedName name="wrn.fiyatsuhaznesi." hidden="1">{"suhaznesi1fiyat",#N/A,FALSE,"shfiyat";"suhaznesi2fiyat",#N/A,FALSE,"shfiyat"}</definedName>
    <definedName name="wrn.fiyattaşkınsuyu." hidden="1">{"taşkınsuyu1fiyat",#N/A,FALSE,"tsfiyat"}</definedName>
    <definedName name="wrn.fiyatterfi." hidden="1">{"terfi1fiyat",#N/A,FALSE,"terfiyat";"terfi2fiyat",#N/A,FALSE,"terfiyat"}</definedName>
    <definedName name="wrn.fiyattrafo." hidden="1">{"trafo1fiyat",#N/A,FALSE,"trafofiyat"}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cmalçewre." hidden="1">{"çewre1icmal",#N/A,FALSE,"çticm";"çewre2icmal",#N/A,FALSE,"çticm"}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hidden="1">{"mekanik1icmal",#N/A,FALSE,"mkticm";"mekanik2icmal",#N/A,FALSE,"mkticm";"mekanik3icmal",#N/A,FALSE,"mkticm"}</definedName>
    <definedName name="wrn.icmalsuhaznesi." hidden="1">{"suhaznesi1icmal",#N/A,FALSE,"shicm";"suhaznesi2icmal",#N/A,FALSE,"shicm";"suhaznesi3icmal",#N/A,FALSE,"shicm"}</definedName>
    <definedName name="wrn.icmaltaşkınsuyu." hidden="1">{"taşkınsuyu1icmal",#N/A,FALSE,"tsicm";"taşkınsuyu2icmal",#N/A,FALSE,"tsicm"}</definedName>
    <definedName name="wrn.icmalterfi." hidden="1">{"terfi1icmal",#N/A,FALSE,"tericm";"terfi2icmal",#N/A,FALSE,"tericm";"terfi3icmal",#N/A,FALSE,"tericm"}</definedName>
    <definedName name="wrn.icmaltrafo." hidden="1">{"trafo1icmal",#N/A,FALSE,"trafoicmal";"trafo2icmal",#N/A,FALSE,"trafoicmal"}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puts." hidden="1">{"Inflation-BaseYear",#N/A,FALSE,"Inputs"}</definedName>
    <definedName name="wrn.insaat_ic." hidden="1">{#N/A,#N/A,FALSE,"inş_iç_ihz";#N/A,#N/A,FALSE,"inş_iç_er";#N/A,#N/A,FALSE,"inş_iç_tut"}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ontario." hidden="1">{"page1",#N/A,FALSE,"sheet 1";"Page2",#N/A,FALSE,"sheet 1";"page3",#N/A,FALSE,"sheet 1";"page4",#N/A,FALSE,"sheet 1"}</definedName>
    <definedName name="wrn.orhan_kose." hidden="1">{#VALUE!,#N/A,TRUE,0;#N/A,#N/A,TRUE,0;#N/A,#N/A,TRUE,0}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hidden="1">{#N/A,#N/A,FALSE,"NCS INC SCOT";#N/A,#N/A,FALSE,"NCS";#N/A,#N/A,FALSE,"74 NCS";#N/A,#N/A,FALSE,"75 NCS";#N/A,#N/A,FALSE,"76 NCS 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hidden="1">{"pumps",#N/A,FALSE,"Option"}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hidden="1">{#N/A,#N/A,FALSE,"kal_iç_ihz";#N/A,#N/A,FALSE,"kal_iç_er";#N/A,#N/A,FALSE,"kal_iç_tut"}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hidden="1">{#N/A,#N/A,FALSE,"Bank Rec Cover Sheet";#N/A,#N/A,FALSE,"Bank Rec Details"}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ку." hidden="1">{#N/A,#N/A,TRUE,"Лист2"}</definedName>
    <definedName name="ww" hidden="1">{#N/A,#N/A,FALSE,"SUBS";#N/A,#N/A,FALSE,"SUPERS";#N/A,#N/A,FALSE,"FINISHES";#N/A,#N/A,FALSE,"FITTINGS";#N/A,#N/A,FALSE,"SERVICES";#N/A,#N/A,FALSE,"SITEWORKS"}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hidden="1">{"'Sheet1'!$A$1:$X$25"}</definedName>
    <definedName name="wwwwwww" hidden="1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x" hidden="1">{"Output-Min",#N/A,FALSE,"Output"}</definedName>
    <definedName name="xxx" hidden="1">#REF!</definedName>
    <definedName name="xxxaa" hidden="1">{"Inflation-BaseYear",#N/A,FALSE,"Inputs"}</definedName>
    <definedName name="xxxxx" hidden="1">{"Output%",#N/A,FALSE,"Output"}</definedName>
    <definedName name="XXXXXXXXXX" hidden="1">#REF!</definedName>
    <definedName name="XXXXXXXXXXXXX" hidden="1">#REF!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hidden="1">{#N/A,#N/A,FALSE,"Aging Summary";#N/A,#N/A,FALSE,"Ratio Analysis";#N/A,#N/A,FALSE,"Test 120 Day Accts";#N/A,#N/A,FALSE,"Tickmarks"}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hidden="1">{"taşkınsuyu1fiyat",#N/A,FALSE,"tsfiyat"}</definedName>
    <definedName name="yhyhy" hidden="1">#REF!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hidden="1">{#N/A,#N/A,FALSE,"kal_iç_ihz";#N/A,#N/A,FALSE,"kal_iç_er";#N/A,#N/A,FALSE,"kal_iç_tut"}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#REF!,#REF!,#REF!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901DD601_3312_11D5_8F89_00010215A1CA_.wvu.Rows" hidden="1">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AB45FFAE_19AD_47F2_A68A_497CFA02F912_.wvu.Rows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D1F2B56D_1E58_4BCA_92CD_48826E79E65F_.wvu.Col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A0D2A17_1C02_11D8_848D_00021BF19BDB_.wvu.FilterData" hidden="1">#REF!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zzz" hidden="1">#REF!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_ставка_офис" hidden="1">{"Inflation-BaseYear",#N/A,FALSE,"Inputs"}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д" hidden="1">{#N/A,#N/A,FALSE,"Расчет вспомогательных"}</definedName>
    <definedName name="дд" hidden="1">{"'РП (2)'!$A$5:$S$150"}</definedName>
    <definedName name="ддд" hidden="1">{"'РП (2)'!$A$5:$S$150"}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ек" hidden="1">{#N/A,#N/A,FALSE,"Расчет вспомогательных"}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о" hidden="1">#REF!</definedName>
    <definedName name="дрлж" hidden="1">{"'РП (2)'!$A$5:$S$150"}</definedName>
    <definedName name="дублер" hidden="1">#REF!</definedName>
    <definedName name="е" hidden="1">{"'РП (2)'!$A$5:$S$150"}</definedName>
    <definedName name="ее" hidden="1">{"'РП (2)'!$A$5:$S$150"}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ен" hidden="1">#REF!</definedName>
    <definedName name="жд" hidden="1">{"'РП (2)'!$A$5:$S$150"}</definedName>
    <definedName name="жж" hidden="1">{"'РП (2)'!$A$5:$S$150"}</definedName>
    <definedName name="жжжжж" hidden="1">{"'РП (2)'!$A$5:$S$150"}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к" hidden="1">{"'РП (2)'!$A$5:$S$150"}</definedName>
    <definedName name="кккккккккккк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РАСНОЯРСК" hidden="1">{"'РП (2)'!$A$5:$S$150"}</definedName>
    <definedName name="лб" hidden="1">{"'РП (2)'!$A$5:$S$150"}</definedName>
    <definedName name="лдж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{"'РП (2)'!$A$5:$S$150"}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р" hidden="1">{"'РП (2)'!$A$5:$S$150"}</definedName>
    <definedName name="отчет" hidden="1">{#N/A,#N/A,FALSE,"Расчет вспомогательных"}</definedName>
    <definedName name="оштлош" hidden="1">{"'РП (2)'!$A$5:$S$150"}</definedName>
    <definedName name="ощлщл" hidden="1">{"'РП (2)'!$A$5:$S$150"}</definedName>
    <definedName name="пе" hidden="1">{"'РП (2)'!$A$5:$S$150"}</definedName>
    <definedName name="пппп" hidden="1">{"'РП (2)'!$A$5:$S$150"}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hidden="1">{"'РП (2)'!$A$5:$S$150"}</definedName>
    <definedName name="про" hidden="1">{"'РП (2)'!$A$5:$S$150"}</definedName>
    <definedName name="Проект3" hidden="1">{#N/A,#N/A,FALSE,"Расчет вспомогательных"}</definedName>
    <definedName name="пром" hidden="1">{"'РП (2)'!$A$5:$S$150"}</definedName>
    <definedName name="пту1" hidden="1">{"'РП (2)'!$A$5:$S$150"}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hidden="1">{#N/A,#N/A,FALSE,"Aging Summary";#N/A,#N/A,FALSE,"Ratio Analysis";#N/A,#N/A,FALSE,"Test 120 Day Accts";#N/A,#N/A,FALSE,"Tickmarks"}</definedName>
    <definedName name="расч2002" hidden="1">{#N/A,#N/A,FALSE,"Расчет вспомогательных"}</definedName>
    <definedName name="расчет" hidden="1">{"'РП (2)'!$A$5:$S$150"}</definedName>
    <definedName name="рл" hidden="1">{"'РП (2)'!$A$5:$S$150"}</definedName>
    <definedName name="рол" hidden="1">{"'РП (2)'!$A$5:$S$150"}</definedName>
    <definedName name="ролдж" hidden="1">{"'РП (2)'!$A$5:$S$150"}</definedName>
    <definedName name="рп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т" hidden="1">#REF!</definedName>
    <definedName name="руков" hidden="1">{"'РП (2)'!$A$5:$S$150"}</definedName>
    <definedName name="СНП" hidden="1">#REF!</definedName>
    <definedName name="совм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в" hidden="1">{"'РП (2)'!$A$5:$S$150"}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фффффффффффф" hidden="1">{"'РП (2)'!$A$5:$S$150"}</definedName>
    <definedName name="фц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M11" i="1"/>
  <c r="M12" i="1"/>
  <c r="M13" i="1"/>
  <c r="M14" i="1"/>
  <c r="Q11" i="1"/>
  <c r="Q12" i="1"/>
  <c r="Q13" i="1"/>
  <c r="Q14" i="1"/>
  <c r="U11" i="1"/>
  <c r="U12" i="1"/>
  <c r="U13" i="1"/>
  <c r="U14" i="1"/>
  <c r="Y11" i="1"/>
  <c r="Y12" i="1"/>
  <c r="Y13" i="1"/>
  <c r="Y14" i="1"/>
  <c r="AC11" i="1"/>
  <c r="AC12" i="1"/>
  <c r="AC13" i="1"/>
  <c r="AC14" i="1"/>
  <c r="AG11" i="1"/>
  <c r="AG12" i="1"/>
  <c r="AG13" i="1"/>
  <c r="AG14" i="1"/>
  <c r="AK11" i="1"/>
  <c r="AK12" i="1"/>
  <c r="AK13" i="1"/>
  <c r="AK14" i="1"/>
  <c r="AO11" i="1"/>
  <c r="AO12" i="1"/>
  <c r="AO13" i="1"/>
  <c r="AO14" i="1"/>
  <c r="AS11" i="1"/>
  <c r="AS12" i="1"/>
  <c r="AS13" i="1"/>
  <c r="AS14" i="1"/>
  <c r="I5" i="1"/>
  <c r="I6" i="1"/>
  <c r="AS4" i="1" l="1"/>
  <c r="AO4" i="1"/>
  <c r="AK4" i="1"/>
  <c r="AG4" i="1"/>
  <c r="AC4" i="1"/>
  <c r="Y4" i="1"/>
  <c r="U4" i="1"/>
  <c r="Q4" i="1"/>
  <c r="M4" i="1"/>
  <c r="I4" i="1"/>
  <c r="AS3" i="1"/>
  <c r="AS19" i="1" l="1"/>
  <c r="AO19" i="1"/>
  <c r="AK19" i="1"/>
  <c r="AG19" i="1"/>
  <c r="AC19" i="1"/>
  <c r="Y19" i="1"/>
  <c r="U19" i="1"/>
  <c r="Q19" i="1"/>
  <c r="M19" i="1"/>
  <c r="I19" i="1"/>
  <c r="AS18" i="1"/>
  <c r="AO18" i="1"/>
  <c r="AK18" i="1"/>
  <c r="AG18" i="1"/>
  <c r="AC18" i="1"/>
  <c r="Y18" i="1"/>
  <c r="U18" i="1"/>
  <c r="Q18" i="1"/>
  <c r="M18" i="1"/>
  <c r="I18" i="1"/>
  <c r="AS17" i="1"/>
  <c r="AO17" i="1"/>
  <c r="AK17" i="1"/>
  <c r="AG17" i="1"/>
  <c r="AC17" i="1"/>
  <c r="Y17" i="1"/>
  <c r="U17" i="1"/>
  <c r="Q17" i="1"/>
  <c r="M17" i="1"/>
  <c r="I17" i="1"/>
  <c r="AS16" i="1"/>
  <c r="AO16" i="1"/>
  <c r="AK16" i="1"/>
  <c r="AG16" i="1"/>
  <c r="AC16" i="1"/>
  <c r="Y16" i="1"/>
  <c r="U16" i="1"/>
  <c r="Q16" i="1"/>
  <c r="M16" i="1"/>
  <c r="I16" i="1"/>
  <c r="AS15" i="1"/>
  <c r="AO15" i="1"/>
  <c r="AK15" i="1"/>
  <c r="AG15" i="1"/>
  <c r="AC15" i="1"/>
  <c r="Y15" i="1"/>
  <c r="U15" i="1"/>
  <c r="Q15" i="1"/>
  <c r="M15" i="1"/>
  <c r="I15" i="1"/>
  <c r="AR10" i="1"/>
  <c r="AQ10" i="1"/>
  <c r="AQ8" i="1" s="1"/>
  <c r="AP10" i="1"/>
  <c r="AN10" i="1"/>
  <c r="AM10" i="1"/>
  <c r="AL10" i="1"/>
  <c r="AJ10" i="1"/>
  <c r="AI10" i="1"/>
  <c r="AH10" i="1"/>
  <c r="AF10" i="1"/>
  <c r="AE10" i="1"/>
  <c r="AD10" i="1"/>
  <c r="AB10" i="1"/>
  <c r="AA10" i="1"/>
  <c r="Z10" i="1"/>
  <c r="X10" i="1"/>
  <c r="W10" i="1"/>
  <c r="V10" i="1"/>
  <c r="T10" i="1"/>
  <c r="S10" i="1"/>
  <c r="R10" i="1"/>
  <c r="P10" i="1"/>
  <c r="O10" i="1"/>
  <c r="N10" i="1"/>
  <c r="L10" i="1"/>
  <c r="K10" i="1"/>
  <c r="J10" i="1"/>
  <c r="H10" i="1"/>
  <c r="G10" i="1"/>
  <c r="F10" i="1"/>
  <c r="AS9" i="1"/>
  <c r="AO9" i="1"/>
  <c r="AK9" i="1"/>
  <c r="AG9" i="1"/>
  <c r="AC9" i="1"/>
  <c r="Y9" i="1"/>
  <c r="U9" i="1"/>
  <c r="Q9" i="1"/>
  <c r="M9" i="1"/>
  <c r="I9" i="1"/>
  <c r="AO3" i="1"/>
  <c r="AK3" i="1"/>
  <c r="AG3" i="1"/>
  <c r="AC3" i="1"/>
  <c r="Y3" i="1"/>
  <c r="U3" i="1"/>
  <c r="Q3" i="1"/>
  <c r="M3" i="1"/>
  <c r="I3" i="1"/>
  <c r="AR1" i="1"/>
  <c r="AS1" i="1" s="1"/>
  <c r="AQ1" i="1"/>
  <c r="AP1" i="1"/>
  <c r="AN1" i="1"/>
  <c r="AO1" i="1" s="1"/>
  <c r="AM1" i="1"/>
  <c r="AL1" i="1"/>
  <c r="AJ1" i="1"/>
  <c r="AK1" i="1" s="1"/>
  <c r="AI1" i="1"/>
  <c r="AH1" i="1"/>
  <c r="AF1" i="1"/>
  <c r="AG1" i="1" s="1"/>
  <c r="AE1" i="1"/>
  <c r="AD1" i="1"/>
  <c r="AB1" i="1"/>
  <c r="AC1" i="1" s="1"/>
  <c r="AA1" i="1"/>
  <c r="Z1" i="1"/>
  <c r="X1" i="1"/>
  <c r="Y1" i="1" s="1"/>
  <c r="W1" i="1"/>
  <c r="V1" i="1"/>
  <c r="T1" i="1"/>
  <c r="U1" i="1" s="1"/>
  <c r="S1" i="1"/>
  <c r="R1" i="1"/>
  <c r="P1" i="1"/>
  <c r="Q1" i="1" s="1"/>
  <c r="O1" i="1"/>
  <c r="N1" i="1"/>
  <c r="L1" i="1"/>
  <c r="M1" i="1" s="1"/>
  <c r="K1" i="1"/>
  <c r="J1" i="1"/>
  <c r="H1" i="1"/>
  <c r="I1" i="1" s="1"/>
  <c r="G1" i="1"/>
  <c r="F1" i="1"/>
  <c r="AE8" i="1" l="1"/>
  <c r="AI8" i="1"/>
  <c r="Q10" i="1"/>
  <c r="AG10" i="1"/>
  <c r="AG8" i="1" s="1"/>
  <c r="S8" i="1"/>
  <c r="I10" i="1"/>
  <c r="AR8" i="1"/>
  <c r="H8" i="1"/>
  <c r="X8" i="1"/>
  <c r="AN8" i="1"/>
  <c r="AC10" i="1"/>
  <c r="AB8" i="1"/>
  <c r="AO10" i="1"/>
  <c r="K8" i="1"/>
  <c r="P8" i="1"/>
  <c r="AJ8" i="1"/>
  <c r="G8" i="1"/>
  <c r="W8" i="1"/>
  <c r="AM8" i="1"/>
  <c r="AS10" i="1"/>
  <c r="F8" i="1"/>
  <c r="AP8" i="1"/>
  <c r="AA8" i="1"/>
  <c r="AL8" i="1"/>
  <c r="Z8" i="1"/>
  <c r="T8" i="1"/>
  <c r="AD8" i="1"/>
  <c r="O8" i="1"/>
  <c r="N8" i="1"/>
  <c r="R8" i="1"/>
  <c r="L8" i="1"/>
  <c r="M10" i="1"/>
  <c r="J8" i="1"/>
  <c r="U10" i="1"/>
  <c r="AF8" i="1"/>
  <c r="AK10" i="1"/>
  <c r="AH8" i="1"/>
  <c r="Y10" i="1"/>
  <c r="V8" i="1"/>
  <c r="M8" i="1" l="1"/>
  <c r="U8" i="1"/>
  <c r="AC8" i="1"/>
  <c r="Y8" i="1"/>
  <c r="Q8" i="1"/>
  <c r="AO8" i="1"/>
  <c r="AS8" i="1"/>
  <c r="I8" i="1"/>
  <c r="AK8" i="1"/>
</calcChain>
</file>

<file path=xl/sharedStrings.xml><?xml version="1.0" encoding="utf-8"?>
<sst xmlns="http://schemas.openxmlformats.org/spreadsheetml/2006/main" count="50" uniqueCount="50">
  <si>
    <t>№ п/п</t>
  </si>
  <si>
    <t>Наименование работ и затрат (по главам, разделам и статьям)</t>
  </si>
  <si>
    <t>Фактический срок реализации проекта</t>
  </si>
  <si>
    <t>Бюджет проекта</t>
  </si>
  <si>
    <t>Начало</t>
  </si>
  <si>
    <t>Окончание</t>
  </si>
  <si>
    <t>4 квартал</t>
  </si>
  <si>
    <t>5 квартал</t>
  </si>
  <si>
    <t>6 квартал</t>
  </si>
  <si>
    <t>7 квартал</t>
  </si>
  <si>
    <t>8 квартал</t>
  </si>
  <si>
    <t>9 квартал</t>
  </si>
  <si>
    <t>10 квартал</t>
  </si>
  <si>
    <t>11 квартал</t>
  </si>
  <si>
    <t>12 квартал</t>
  </si>
  <si>
    <t>13 квартал</t>
  </si>
  <si>
    <t>1.</t>
  </si>
  <si>
    <t>Глава 1. Стоимость земельного участка и расходы по его содержанию</t>
  </si>
  <si>
    <t>2.</t>
  </si>
  <si>
    <t>Глава 2. Стоимость строительства</t>
  </si>
  <si>
    <t>2.1.</t>
  </si>
  <si>
    <t>Подготовительный период, в т.ч. устройство подкрановых путей, перебазировка вертикального транспорта, демонтажные работы и работы по выносу сетей</t>
  </si>
  <si>
    <t>2.2.</t>
  </si>
  <si>
    <t>2.2.1.</t>
  </si>
  <si>
    <t>Земляные работы</t>
  </si>
  <si>
    <t>2.2.2.</t>
  </si>
  <si>
    <t>2.3.</t>
  </si>
  <si>
    <t>Внутренние инженерные системы</t>
  </si>
  <si>
    <t>2.4.</t>
  </si>
  <si>
    <t>Наружные инженерные сети</t>
  </si>
  <si>
    <t>2.5.</t>
  </si>
  <si>
    <t>Благоустройство и озеленение территории</t>
  </si>
  <si>
    <t>2.6.</t>
  </si>
  <si>
    <t>Содержание службы заказчика-застройщика, в т.ч. охрана объекта</t>
  </si>
  <si>
    <t>2.7.</t>
  </si>
  <si>
    <t>Проектные и изыскательские работы, авторский надзор, экспертиза проекта, экспертное сопровождение</t>
  </si>
  <si>
    <t>2.8.</t>
  </si>
  <si>
    <t>Резерв на непредвиденные расходы</t>
  </si>
  <si>
    <t>3.</t>
  </si>
  <si>
    <t>Глава 3. Коммерческие расходы</t>
  </si>
  <si>
    <t>Затраты на приобретение прав на ЗУ</t>
  </si>
  <si>
    <t>Затраты на аренду ЗУ</t>
  </si>
  <si>
    <t xml:space="preserve">Затраты на изменение ВРИ, комплексное развитие застроенной территории (соинвестирование по прочим обязательствам) </t>
  </si>
  <si>
    <t>Прочие затраты</t>
  </si>
  <si>
    <t>1.1.</t>
  </si>
  <si>
    <t>1.2.</t>
  </si>
  <si>
    <t>1.3.</t>
  </si>
  <si>
    <t>1.4.</t>
  </si>
  <si>
    <t>Фундаментная плита, свайное основание,</t>
  </si>
  <si>
    <t>Общестроительные и отделочные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</si>
</sst>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8" x14ac:knownFonts="1">
    <font>
      <sz val="11"/>
      <color theme="1"/>
      <name val="Calibri Light"/>
      <family val="2"/>
      <charset val="204"/>
      <scheme val="maj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 Light"/>
      <family val="2"/>
      <charset val="204"/>
      <scheme val="major"/>
    </font>
    <font>
      <b/>
      <sz val="10"/>
      <name val="Calibri Light"/>
      <family val="2"/>
      <charset val="204"/>
      <scheme val="major"/>
    </font>
    <font>
      <sz val="11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  <font>
      <sz val="10"/>
      <name val="Calibri Light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1">
      <alignment horizontal="center" vertical="center" wrapText="1"/>
    </xf>
    <xf numFmtId="0" fontId="3" fillId="3" borderId="15">
      <alignment horizontal="center" vertical="center" wrapText="1"/>
    </xf>
    <xf numFmtId="3" fontId="6" fillId="2" borderId="17">
      <alignment horizontal="center" vertical="center" wrapText="1"/>
      <protection locked="0"/>
    </xf>
    <xf numFmtId="0" fontId="6" fillId="6" borderId="19">
      <alignment horizontal="left" vertical="center" wrapText="1"/>
    </xf>
    <xf numFmtId="0" fontId="6" fillId="0" borderId="17">
      <alignment horizontal="left" vertical="center" wrapText="1"/>
    </xf>
    <xf numFmtId="0" fontId="6" fillId="0" borderId="17">
      <alignment horizontal="left" vertical="center" wrapText="1"/>
    </xf>
    <xf numFmtId="0" fontId="6" fillId="6" borderId="26">
      <alignment horizontal="left" vertical="center" wrapText="1"/>
    </xf>
  </cellStyleXfs>
  <cellXfs count="51">
    <xf numFmtId="0" fontId="0" fillId="0" borderId="0" xfId="0"/>
    <xf numFmtId="0" fontId="2" fillId="0" borderId="6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5" fillId="0" borderId="0" xfId="0" applyFont="1"/>
    <xf numFmtId="14" fontId="4" fillId="0" borderId="10" xfId="2" applyNumberFormat="1" applyFont="1" applyFill="1" applyBorder="1" applyAlignment="1" applyProtection="1">
      <alignment horizontal="center" vertical="center" wrapText="1"/>
    </xf>
    <xf numFmtId="164" fontId="2" fillId="2" borderId="12" xfId="1" applyNumberFormat="1" applyFont="1" applyFill="1" applyBorder="1" applyAlignment="1" applyProtection="1">
      <alignment horizontal="center" vertical="center"/>
      <protection locked="0"/>
    </xf>
    <xf numFmtId="164" fontId="2" fillId="2" borderId="13" xfId="1" applyNumberFormat="1" applyFont="1" applyFill="1" applyBorder="1" applyAlignment="1" applyProtection="1">
      <alignment horizontal="center" vertical="center"/>
      <protection locked="0"/>
    </xf>
    <xf numFmtId="0" fontId="4" fillId="4" borderId="11" xfId="3" applyFont="1" applyFill="1" applyBorder="1" applyAlignment="1">
      <alignment horizontal="center" vertical="center" wrapText="1"/>
    </xf>
    <xf numFmtId="0" fontId="4" fillId="4" borderId="10" xfId="3" applyFont="1" applyFill="1" applyBorder="1">
      <alignment horizontal="center" vertical="center" wrapText="1"/>
    </xf>
    <xf numFmtId="14" fontId="4" fillId="4" borderId="10" xfId="3" applyNumberFormat="1" applyFont="1" applyFill="1" applyBorder="1" applyAlignment="1" applyProtection="1">
      <alignment horizontal="center" vertical="center" wrapText="1"/>
    </xf>
    <xf numFmtId="14" fontId="4" fillId="4" borderId="14" xfId="3" applyNumberFormat="1" applyFont="1" applyFill="1" applyBorder="1" applyAlignment="1" applyProtection="1">
      <alignment horizontal="center" vertical="center" wrapText="1"/>
    </xf>
    <xf numFmtId="3" fontId="4" fillId="4" borderId="10" xfId="3" applyNumberFormat="1" applyFont="1" applyFill="1" applyBorder="1" applyAlignment="1" applyProtection="1">
      <alignment horizontal="center" vertical="center" wrapText="1"/>
    </xf>
    <xf numFmtId="3" fontId="2" fillId="4" borderId="11" xfId="1" applyNumberFormat="1" applyFont="1" applyFill="1" applyBorder="1" applyAlignment="1">
      <alignment horizontal="center" vertical="center" wrapText="1"/>
    </xf>
    <xf numFmtId="3" fontId="2" fillId="4" borderId="12" xfId="1" applyNumberFormat="1" applyFont="1" applyFill="1" applyBorder="1" applyAlignment="1">
      <alignment horizontal="center" vertical="center" wrapText="1"/>
    </xf>
    <xf numFmtId="3" fontId="2" fillId="4" borderId="10" xfId="1" applyNumberFormat="1" applyFont="1" applyFill="1" applyBorder="1" applyAlignment="1">
      <alignment horizontal="center" vertical="center" wrapText="1"/>
    </xf>
    <xf numFmtId="3" fontId="2" fillId="4" borderId="16" xfId="1" applyNumberFormat="1" applyFont="1" applyFill="1" applyBorder="1" applyAlignment="1">
      <alignment horizontal="center" vertical="center" wrapText="1"/>
    </xf>
    <xf numFmtId="3" fontId="7" fillId="5" borderId="18" xfId="4" applyFont="1" applyFill="1" applyBorder="1">
      <alignment horizontal="center" vertical="center" wrapText="1"/>
      <protection locked="0"/>
    </xf>
    <xf numFmtId="0" fontId="7" fillId="6" borderId="11" xfId="5" applyFont="1" applyFill="1" applyBorder="1" applyAlignment="1">
      <alignment horizontal="center" vertical="center" wrapText="1"/>
    </xf>
    <xf numFmtId="0" fontId="7" fillId="6" borderId="10" xfId="5" applyFont="1" applyFill="1" applyBorder="1">
      <alignment horizontal="left" vertical="center" wrapText="1"/>
    </xf>
    <xf numFmtId="14" fontId="4" fillId="6" borderId="10" xfId="3" applyNumberFormat="1" applyFont="1" applyFill="1" applyBorder="1" applyAlignment="1" applyProtection="1">
      <alignment horizontal="center" vertical="center" wrapText="1"/>
    </xf>
    <xf numFmtId="3" fontId="7" fillId="6" borderId="10" xfId="5" applyNumberFormat="1" applyFont="1" applyFill="1" applyBorder="1" applyAlignment="1" applyProtection="1">
      <alignment horizontal="center" vertical="center" wrapText="1"/>
    </xf>
    <xf numFmtId="3" fontId="7" fillId="5" borderId="20" xfId="4" applyFont="1" applyFill="1" applyBorder="1">
      <alignment horizontal="center" vertical="center" wrapText="1"/>
      <protection locked="0"/>
    </xf>
    <xf numFmtId="3" fontId="2" fillId="6" borderId="12" xfId="1" applyNumberFormat="1" applyFont="1" applyFill="1" applyBorder="1" applyAlignment="1">
      <alignment horizontal="center" vertical="center" wrapText="1"/>
    </xf>
    <xf numFmtId="3" fontId="7" fillId="5" borderId="21" xfId="4" applyFont="1" applyFill="1" applyBorder="1">
      <alignment horizontal="center" vertical="center" wrapText="1"/>
      <protection locked="0"/>
    </xf>
    <xf numFmtId="3" fontId="2" fillId="6" borderId="11" xfId="1" applyNumberFormat="1" applyFont="1" applyFill="1" applyBorder="1" applyAlignment="1">
      <alignment horizontal="center" vertical="center" wrapText="1"/>
    </xf>
    <xf numFmtId="3" fontId="2" fillId="6" borderId="10" xfId="1" applyNumberFormat="1" applyFont="1" applyFill="1" applyBorder="1" applyAlignment="1">
      <alignment horizontal="center" vertical="center" wrapText="1"/>
    </xf>
    <xf numFmtId="3" fontId="2" fillId="6" borderId="16" xfId="1" applyNumberFormat="1" applyFont="1" applyFill="1" applyBorder="1" applyAlignment="1">
      <alignment horizontal="center" vertical="center" wrapText="1"/>
    </xf>
    <xf numFmtId="0" fontId="7" fillId="0" borderId="11" xfId="6" applyFont="1" applyFill="1" applyBorder="1" applyAlignment="1">
      <alignment horizontal="center" vertical="center" wrapText="1"/>
    </xf>
    <xf numFmtId="0" fontId="7" fillId="0" borderId="10" xfId="6" applyFont="1" applyFill="1" applyBorder="1">
      <alignment horizontal="left" vertical="center" wrapText="1"/>
    </xf>
    <xf numFmtId="14" fontId="4" fillId="0" borderId="22" xfId="3" applyNumberFormat="1" applyFont="1" applyFill="1" applyBorder="1" applyAlignment="1" applyProtection="1">
      <alignment horizontal="center" vertical="center" wrapText="1"/>
    </xf>
    <xf numFmtId="3" fontId="7" fillId="0" borderId="23" xfId="6" applyNumberFormat="1" applyFont="1" applyBorder="1" applyAlignment="1" applyProtection="1">
      <alignment horizontal="center" vertical="center" wrapText="1"/>
    </xf>
    <xf numFmtId="3" fontId="7" fillId="2" borderId="20" xfId="4" applyFont="1" applyBorder="1">
      <alignment horizontal="center" vertical="center" wrapText="1"/>
      <protection locked="0"/>
    </xf>
    <xf numFmtId="3" fontId="7" fillId="2" borderId="18" xfId="4" applyFont="1" applyBorder="1">
      <alignment horizontal="center" vertical="center" wrapText="1"/>
      <protection locked="0"/>
    </xf>
    <xf numFmtId="3" fontId="7" fillId="2" borderId="21" xfId="4" applyFont="1" applyBorder="1">
      <alignment horizontal="center" vertical="center" wrapText="1"/>
      <protection locked="0"/>
    </xf>
    <xf numFmtId="49" fontId="7" fillId="0" borderId="11" xfId="7" applyNumberFormat="1" applyFont="1" applyBorder="1" applyAlignment="1">
      <alignment horizontal="center" vertical="center" wrapText="1"/>
    </xf>
    <xf numFmtId="0" fontId="7" fillId="0" borderId="10" xfId="7" applyFont="1" applyBorder="1">
      <alignment horizontal="left" vertical="center" wrapText="1"/>
    </xf>
    <xf numFmtId="14" fontId="4" fillId="0" borderId="24" xfId="3" applyNumberFormat="1" applyFont="1" applyFill="1" applyBorder="1" applyAlignment="1" applyProtection="1">
      <alignment horizontal="center" vertical="center" wrapText="1"/>
    </xf>
    <xf numFmtId="14" fontId="4" fillId="0" borderId="25" xfId="3" applyNumberFormat="1" applyFont="1" applyFill="1" applyBorder="1" applyAlignment="1" applyProtection="1">
      <alignment horizontal="center" vertical="center" wrapText="1"/>
    </xf>
    <xf numFmtId="0" fontId="7" fillId="6" borderId="11" xfId="6" applyFont="1" applyFill="1" applyBorder="1" applyAlignment="1">
      <alignment horizontal="center" vertical="center" wrapText="1"/>
    </xf>
    <xf numFmtId="0" fontId="7" fillId="6" borderId="10" xfId="6" applyFont="1" applyFill="1" applyBorder="1">
      <alignment horizontal="left" vertical="center" wrapText="1"/>
    </xf>
    <xf numFmtId="3" fontId="7" fillId="6" borderId="10" xfId="6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0" fontId="7" fillId="6" borderId="10" xfId="5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49" fontId="4" fillId="0" borderId="2" xfId="2" applyNumberFormat="1" applyFont="1" applyFill="1" applyBorder="1" applyAlignment="1">
      <alignment horizontal="center" vertical="center" wrapText="1"/>
    </xf>
    <xf numFmtId="49" fontId="4" fillId="0" borderId="8" xfId="2" applyNumberFormat="1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9" xfId="2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6" xfId="1" xr:uid="{4E29B999-6650-49BB-9D02-A3C26BC5F237}"/>
    <cellStyle name="Реестр платежей АБ1 2" xfId="2" xr:uid="{2E45D8D6-35B8-410E-AC6C-0AB36DDB3359}"/>
    <cellStyle name="Реестр платежей АБ1 Заголовок" xfId="3" xr:uid="{BDB4B126-BAEB-4F94-A29A-BEDAA37BC9F2}"/>
    <cellStyle name="Реестр платежей АБ1 Заголовок 2" xfId="8" xr:uid="{72779A1B-FD71-4958-ACC4-C65876214C30}"/>
    <cellStyle name="Реестр платежей АБ1 Заголовок 2 2" xfId="5" xr:uid="{4EB755FE-A2DF-49E1-8728-200963D94A8F}"/>
    <cellStyle name="Реестр платежей АБ2 2" xfId="6" xr:uid="{E7A121AC-D829-43D9-948E-0FCC5D17370D}"/>
    <cellStyle name="Реестр платежей АБ2 3 2" xfId="7" xr:uid="{6428D401-9AF7-4984-A387-9B26C398FCE8}"/>
    <cellStyle name="Реестр платежей АБ2 ввод данных 2" xfId="4" xr:uid="{2DEB9B89-29BB-4614-869B-F70105FF8BD5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7F0C-39DF-43F4-83C5-9E2AACD70B62}">
  <dimension ref="A1:AS21"/>
  <sheetViews>
    <sheetView tabSelected="1" zoomScale="80" zoomScaleNormal="80" workbookViewId="0">
      <selection activeCell="B6" sqref="B6"/>
    </sheetView>
  </sheetViews>
  <sheetFormatPr defaultRowHeight="14.4" outlineLevelCol="1" x14ac:dyDescent="0.3"/>
  <cols>
    <col min="1" max="1" width="7" customWidth="1"/>
    <col min="2" max="2" width="26.6640625" customWidth="1"/>
    <col min="3" max="4" width="13.6640625" customWidth="1"/>
    <col min="5" max="5" width="16.21875" customWidth="1"/>
    <col min="6" max="6" width="10" customWidth="1" outlineLevel="1"/>
    <col min="7" max="7" width="11.109375" customWidth="1" outlineLevel="1"/>
    <col min="8" max="8" width="10.44140625" customWidth="1" outlineLevel="1"/>
    <col min="9" max="9" width="14.44140625" customWidth="1"/>
    <col min="10" max="12" width="10.44140625" customWidth="1" outlineLevel="1"/>
    <col min="13" max="13" width="14.44140625" customWidth="1"/>
    <col min="14" max="14" width="10.33203125" customWidth="1" outlineLevel="1"/>
    <col min="15" max="16" width="11.77734375" customWidth="1" outlineLevel="1"/>
    <col min="17" max="17" width="14.44140625" customWidth="1"/>
    <col min="18" max="20" width="11.33203125" customWidth="1" outlineLevel="1"/>
    <col min="21" max="21" width="14.44140625" customWidth="1"/>
    <col min="22" max="24" width="11.77734375" customWidth="1" outlineLevel="1"/>
    <col min="25" max="25" width="14.44140625" customWidth="1"/>
    <col min="26" max="28" width="11.21875" customWidth="1" outlineLevel="1"/>
    <col min="29" max="29" width="14.44140625" customWidth="1"/>
    <col min="30" max="32" width="10" customWidth="1" outlineLevel="1"/>
    <col min="33" max="33" width="14.44140625" customWidth="1"/>
    <col min="34" max="34" width="10" customWidth="1" outlineLevel="1"/>
    <col min="35" max="35" width="10.77734375" customWidth="1" outlineLevel="1"/>
    <col min="36" max="36" width="10" customWidth="1" outlineLevel="1"/>
    <col min="37" max="37" width="14.44140625" customWidth="1"/>
    <col min="38" max="40" width="10" customWidth="1" outlineLevel="1"/>
    <col min="41" max="41" width="14.44140625" customWidth="1"/>
    <col min="42" max="44" width="10" customWidth="1" outlineLevel="1"/>
    <col min="45" max="45" width="14.44140625" customWidth="1"/>
  </cols>
  <sheetData>
    <row r="1" spans="1:45" s="5" customFormat="1" ht="41.4" customHeight="1" x14ac:dyDescent="0.3">
      <c r="A1" s="47" t="s">
        <v>0</v>
      </c>
      <c r="B1" s="49" t="s">
        <v>1</v>
      </c>
      <c r="C1" s="45" t="s">
        <v>2</v>
      </c>
      <c r="D1" s="46"/>
      <c r="E1" s="49" t="s">
        <v>3</v>
      </c>
      <c r="F1" s="2">
        <f t="shared" ref="F1:H1" si="0">YEAR(F2)</f>
        <v>2024</v>
      </c>
      <c r="G1" s="3">
        <f t="shared" si="0"/>
        <v>2024</v>
      </c>
      <c r="H1" s="4">
        <f t="shared" si="0"/>
        <v>2024</v>
      </c>
      <c r="I1" s="1">
        <f>H1</f>
        <v>2024</v>
      </c>
      <c r="J1" s="2">
        <f t="shared" ref="J1:L1" si="1">YEAR(J2)</f>
        <v>2024</v>
      </c>
      <c r="K1" s="3">
        <f t="shared" si="1"/>
        <v>2024</v>
      </c>
      <c r="L1" s="4">
        <f t="shared" si="1"/>
        <v>2024</v>
      </c>
      <c r="M1" s="1">
        <f>L1</f>
        <v>2024</v>
      </c>
      <c r="N1" s="2">
        <f t="shared" ref="N1:P1" si="2">YEAR(N2)</f>
        <v>2025</v>
      </c>
      <c r="O1" s="3">
        <f t="shared" si="2"/>
        <v>2025</v>
      </c>
      <c r="P1" s="4">
        <f t="shared" si="2"/>
        <v>2025</v>
      </c>
      <c r="Q1" s="1">
        <f>P1</f>
        <v>2025</v>
      </c>
      <c r="R1" s="2">
        <f t="shared" ref="R1:T1" si="3">YEAR(R2)</f>
        <v>2025</v>
      </c>
      <c r="S1" s="3">
        <f t="shared" si="3"/>
        <v>2025</v>
      </c>
      <c r="T1" s="4">
        <f t="shared" si="3"/>
        <v>2025</v>
      </c>
      <c r="U1" s="1">
        <f>T1</f>
        <v>2025</v>
      </c>
      <c r="V1" s="2">
        <f t="shared" ref="V1:X1" si="4">YEAR(V2)</f>
        <v>2025</v>
      </c>
      <c r="W1" s="3">
        <f t="shared" si="4"/>
        <v>2025</v>
      </c>
      <c r="X1" s="4">
        <f t="shared" si="4"/>
        <v>2025</v>
      </c>
      <c r="Y1" s="1">
        <f>X1</f>
        <v>2025</v>
      </c>
      <c r="Z1" s="2">
        <f t="shared" ref="Z1:AB1" si="5">YEAR(Z2)</f>
        <v>2025</v>
      </c>
      <c r="AA1" s="3">
        <f t="shared" si="5"/>
        <v>2025</v>
      </c>
      <c r="AB1" s="4">
        <f t="shared" si="5"/>
        <v>2025</v>
      </c>
      <c r="AC1" s="1">
        <f>AB1</f>
        <v>2025</v>
      </c>
      <c r="AD1" s="2">
        <f t="shared" ref="AD1:AF1" si="6">YEAR(AD2)</f>
        <v>2026</v>
      </c>
      <c r="AE1" s="3">
        <f t="shared" si="6"/>
        <v>2026</v>
      </c>
      <c r="AF1" s="4">
        <f t="shared" si="6"/>
        <v>2026</v>
      </c>
      <c r="AG1" s="1">
        <f>AF1</f>
        <v>2026</v>
      </c>
      <c r="AH1" s="2">
        <f t="shared" ref="AH1:AJ1" si="7">YEAR(AH2)</f>
        <v>2026</v>
      </c>
      <c r="AI1" s="3">
        <f t="shared" si="7"/>
        <v>2026</v>
      </c>
      <c r="AJ1" s="4">
        <f t="shared" si="7"/>
        <v>2026</v>
      </c>
      <c r="AK1" s="1">
        <f>AJ1</f>
        <v>2026</v>
      </c>
      <c r="AL1" s="2">
        <f t="shared" ref="AL1:AN1" si="8">YEAR(AL2)</f>
        <v>2026</v>
      </c>
      <c r="AM1" s="3">
        <f t="shared" si="8"/>
        <v>2026</v>
      </c>
      <c r="AN1" s="4">
        <f t="shared" si="8"/>
        <v>2026</v>
      </c>
      <c r="AO1" s="1">
        <f t="shared" ref="AO1" si="9">AN1</f>
        <v>2026</v>
      </c>
      <c r="AP1" s="2">
        <f t="shared" ref="AP1:AR1" si="10">YEAR(AP2)</f>
        <v>2026</v>
      </c>
      <c r="AQ1" s="3">
        <f t="shared" si="10"/>
        <v>2026</v>
      </c>
      <c r="AR1" s="4">
        <f t="shared" si="10"/>
        <v>2026</v>
      </c>
      <c r="AS1" s="1">
        <f t="shared" ref="AS1" si="11">AR1</f>
        <v>2026</v>
      </c>
    </row>
    <row r="2" spans="1:45" s="5" customFormat="1" x14ac:dyDescent="0.3">
      <c r="A2" s="48"/>
      <c r="B2" s="50"/>
      <c r="C2" s="6" t="s">
        <v>4</v>
      </c>
      <c r="D2" s="6" t="s">
        <v>5</v>
      </c>
      <c r="E2" s="50"/>
      <c r="F2" s="8">
        <v>45474</v>
      </c>
      <c r="G2" s="8">
        <v>45505</v>
      </c>
      <c r="H2" s="8">
        <v>45536</v>
      </c>
      <c r="I2" s="7" t="s">
        <v>6</v>
      </c>
      <c r="J2" s="8">
        <v>45566</v>
      </c>
      <c r="K2" s="8">
        <v>45597</v>
      </c>
      <c r="L2" s="8">
        <v>45627</v>
      </c>
      <c r="M2" s="7" t="s">
        <v>7</v>
      </c>
      <c r="N2" s="8">
        <v>45658</v>
      </c>
      <c r="O2" s="8">
        <v>45689</v>
      </c>
      <c r="P2" s="8">
        <v>45717</v>
      </c>
      <c r="Q2" s="7" t="s">
        <v>8</v>
      </c>
      <c r="R2" s="8">
        <v>45748</v>
      </c>
      <c r="S2" s="8">
        <v>45778</v>
      </c>
      <c r="T2" s="8">
        <v>45809</v>
      </c>
      <c r="U2" s="7" t="s">
        <v>9</v>
      </c>
      <c r="V2" s="8">
        <v>45839</v>
      </c>
      <c r="W2" s="8">
        <v>45870</v>
      </c>
      <c r="X2" s="8">
        <v>45901</v>
      </c>
      <c r="Y2" s="7" t="s">
        <v>10</v>
      </c>
      <c r="Z2" s="8">
        <v>45931</v>
      </c>
      <c r="AA2" s="8">
        <v>45962</v>
      </c>
      <c r="AB2" s="8">
        <v>45992</v>
      </c>
      <c r="AC2" s="7" t="s">
        <v>11</v>
      </c>
      <c r="AD2" s="8">
        <v>46023</v>
      </c>
      <c r="AE2" s="8">
        <v>46054</v>
      </c>
      <c r="AF2" s="8">
        <v>46082</v>
      </c>
      <c r="AG2" s="7" t="s">
        <v>12</v>
      </c>
      <c r="AH2" s="8">
        <v>46113</v>
      </c>
      <c r="AI2" s="8">
        <v>46143</v>
      </c>
      <c r="AJ2" s="8">
        <v>46174</v>
      </c>
      <c r="AK2" s="7" t="s">
        <v>13</v>
      </c>
      <c r="AL2" s="8">
        <v>46204</v>
      </c>
      <c r="AM2" s="8">
        <v>46235</v>
      </c>
      <c r="AN2" s="8">
        <v>46266</v>
      </c>
      <c r="AO2" s="7" t="s">
        <v>14</v>
      </c>
      <c r="AP2" s="8">
        <v>46296</v>
      </c>
      <c r="AQ2" s="8">
        <v>46327</v>
      </c>
      <c r="AR2" s="8">
        <v>46357</v>
      </c>
      <c r="AS2" s="7" t="s">
        <v>15</v>
      </c>
    </row>
    <row r="3" spans="1:45" s="5" customFormat="1" ht="55.2" x14ac:dyDescent="0.3">
      <c r="A3" s="9" t="s">
        <v>16</v>
      </c>
      <c r="B3" s="10" t="s">
        <v>17</v>
      </c>
      <c r="C3" s="21">
        <v>45474</v>
      </c>
      <c r="D3" s="12">
        <v>45474</v>
      </c>
      <c r="E3" s="13">
        <v>92446000</v>
      </c>
      <c r="F3" s="14">
        <v>92446000</v>
      </c>
      <c r="G3" s="16"/>
      <c r="H3" s="17"/>
      <c r="I3" s="15">
        <f t="shared" ref="I3" si="12">SUM(F3:H3)</f>
        <v>92446000</v>
      </c>
      <c r="J3" s="14"/>
      <c r="K3" s="16"/>
      <c r="L3" s="17"/>
      <c r="M3" s="15">
        <f t="shared" ref="M3" si="13">SUM(J3:L3)</f>
        <v>0</v>
      </c>
      <c r="N3" s="14"/>
      <c r="O3" s="14"/>
      <c r="P3" s="17"/>
      <c r="Q3" s="15">
        <f t="shared" ref="Q3" si="14">SUM(N3:P3)</f>
        <v>0</v>
      </c>
      <c r="R3" s="14"/>
      <c r="S3" s="16"/>
      <c r="T3" s="17"/>
      <c r="U3" s="15">
        <f t="shared" ref="U3" si="15">SUM(R3:T3)</f>
        <v>0</v>
      </c>
      <c r="V3" s="14"/>
      <c r="W3" s="16"/>
      <c r="X3" s="17"/>
      <c r="Y3" s="15">
        <f t="shared" ref="Y3" si="16">SUM(V3:X3)</f>
        <v>0</v>
      </c>
      <c r="Z3" s="14"/>
      <c r="AA3" s="16"/>
      <c r="AB3" s="17"/>
      <c r="AC3" s="15">
        <f t="shared" ref="AC3" si="17">SUM(Z3:AB3)</f>
        <v>0</v>
      </c>
      <c r="AD3" s="14"/>
      <c r="AE3" s="16"/>
      <c r="AF3" s="17"/>
      <c r="AG3" s="15">
        <f t="shared" ref="AG3" si="18">SUM(AD3:AF3)</f>
        <v>0</v>
      </c>
      <c r="AH3" s="14"/>
      <c r="AI3" s="16"/>
      <c r="AJ3" s="17"/>
      <c r="AK3" s="15">
        <f t="shared" ref="AK3" si="19">SUM(AH3:AJ3)</f>
        <v>0</v>
      </c>
      <c r="AL3" s="14"/>
      <c r="AM3" s="16"/>
      <c r="AN3" s="17"/>
      <c r="AO3" s="15">
        <f t="shared" ref="AO3" si="20">SUM(AL3:AN3)</f>
        <v>0</v>
      </c>
      <c r="AP3" s="14"/>
      <c r="AQ3" s="16"/>
      <c r="AR3" s="17"/>
      <c r="AS3" s="15">
        <f>SUM(AP3:AR3)</f>
        <v>0</v>
      </c>
    </row>
    <row r="4" spans="1:45" s="5" customFormat="1" ht="27.6" x14ac:dyDescent="0.3">
      <c r="A4" s="20" t="s">
        <v>44</v>
      </c>
      <c r="B4" s="20" t="s">
        <v>40</v>
      </c>
      <c r="C4" s="21">
        <v>45474</v>
      </c>
      <c r="D4" s="38">
        <v>45474</v>
      </c>
      <c r="E4" s="22">
        <v>88900000</v>
      </c>
      <c r="F4" s="14">
        <v>88900000</v>
      </c>
      <c r="G4" s="16"/>
      <c r="H4" s="17"/>
      <c r="I4" s="15">
        <f t="shared" ref="I4:I6" si="21">SUM(F4:H4)</f>
        <v>88900000</v>
      </c>
      <c r="J4" s="14"/>
      <c r="K4" s="16"/>
      <c r="L4" s="17"/>
      <c r="M4" s="15">
        <f t="shared" ref="M4" si="22">SUM(J4:L4)</f>
        <v>0</v>
      </c>
      <c r="N4" s="14"/>
      <c r="O4" s="14"/>
      <c r="P4" s="17"/>
      <c r="Q4" s="15">
        <f t="shared" ref="Q4" si="23">SUM(N4:P4)</f>
        <v>0</v>
      </c>
      <c r="R4" s="14"/>
      <c r="S4" s="16"/>
      <c r="T4" s="17"/>
      <c r="U4" s="15">
        <f t="shared" ref="U4" si="24">SUM(R4:T4)</f>
        <v>0</v>
      </c>
      <c r="V4" s="14"/>
      <c r="W4" s="16"/>
      <c r="X4" s="17"/>
      <c r="Y4" s="15">
        <f t="shared" ref="Y4" si="25">SUM(V4:X4)</f>
        <v>0</v>
      </c>
      <c r="Z4" s="14"/>
      <c r="AA4" s="16"/>
      <c r="AB4" s="17"/>
      <c r="AC4" s="15">
        <f t="shared" ref="AC4" si="26">SUM(Z4:AB4)</f>
        <v>0</v>
      </c>
      <c r="AD4" s="14"/>
      <c r="AE4" s="16"/>
      <c r="AF4" s="17"/>
      <c r="AG4" s="15">
        <f t="shared" ref="AG4" si="27">SUM(AD4:AF4)</f>
        <v>0</v>
      </c>
      <c r="AH4" s="14"/>
      <c r="AI4" s="16"/>
      <c r="AJ4" s="17"/>
      <c r="AK4" s="15">
        <f t="shared" ref="AK4" si="28">SUM(AH4:AJ4)</f>
        <v>0</v>
      </c>
      <c r="AL4" s="14"/>
      <c r="AM4" s="16"/>
      <c r="AN4" s="17"/>
      <c r="AO4" s="15">
        <f t="shared" ref="AO4" si="29">SUM(AL4:AN4)</f>
        <v>0</v>
      </c>
      <c r="AP4" s="14"/>
      <c r="AQ4" s="16"/>
      <c r="AR4" s="17"/>
      <c r="AS4" s="15">
        <f>SUM(AP4:AR4)</f>
        <v>0</v>
      </c>
    </row>
    <row r="5" spans="1:45" s="5" customFormat="1" x14ac:dyDescent="0.3">
      <c r="A5" s="20" t="s">
        <v>45</v>
      </c>
      <c r="B5" s="20" t="s">
        <v>41</v>
      </c>
      <c r="C5" s="21">
        <v>45474</v>
      </c>
      <c r="D5" s="38">
        <v>45474</v>
      </c>
      <c r="E5" s="44">
        <v>3546000</v>
      </c>
      <c r="F5" s="14">
        <v>3546000</v>
      </c>
      <c r="G5" s="16"/>
      <c r="H5" s="17"/>
      <c r="I5" s="15">
        <f t="shared" si="21"/>
        <v>3546000</v>
      </c>
      <c r="J5" s="14"/>
      <c r="K5" s="16"/>
      <c r="L5" s="17"/>
      <c r="M5" s="15"/>
      <c r="N5" s="14"/>
      <c r="O5" s="14"/>
      <c r="P5" s="17"/>
      <c r="Q5" s="15"/>
      <c r="R5" s="14"/>
      <c r="S5" s="16"/>
      <c r="T5" s="17"/>
      <c r="U5" s="15"/>
      <c r="V5" s="14"/>
      <c r="W5" s="16"/>
      <c r="X5" s="17"/>
      <c r="Y5" s="15"/>
      <c r="Z5" s="14"/>
      <c r="AA5" s="16"/>
      <c r="AB5" s="17"/>
      <c r="AC5" s="15"/>
      <c r="AD5" s="14"/>
      <c r="AE5" s="16"/>
      <c r="AF5" s="17"/>
      <c r="AG5" s="15"/>
      <c r="AH5" s="14"/>
      <c r="AI5" s="16"/>
      <c r="AJ5" s="17"/>
      <c r="AK5" s="15"/>
      <c r="AL5" s="14"/>
      <c r="AM5" s="16"/>
      <c r="AN5" s="17"/>
      <c r="AO5" s="15"/>
      <c r="AP5" s="14"/>
      <c r="AQ5" s="16"/>
      <c r="AR5" s="17"/>
      <c r="AS5" s="15"/>
    </row>
    <row r="6" spans="1:45" s="5" customFormat="1" ht="69" x14ac:dyDescent="0.3">
      <c r="A6" s="20" t="s">
        <v>46</v>
      </c>
      <c r="B6" s="20" t="s">
        <v>42</v>
      </c>
      <c r="C6" s="38"/>
      <c r="D6" s="38"/>
      <c r="E6" s="20"/>
      <c r="F6" s="14"/>
      <c r="G6" s="16"/>
      <c r="H6" s="17"/>
      <c r="I6" s="15">
        <f t="shared" si="21"/>
        <v>0</v>
      </c>
      <c r="J6" s="14"/>
      <c r="K6" s="16"/>
      <c r="L6" s="17"/>
      <c r="M6" s="15"/>
      <c r="N6" s="14"/>
      <c r="O6" s="14"/>
      <c r="P6" s="17"/>
      <c r="Q6" s="15"/>
      <c r="R6" s="14"/>
      <c r="S6" s="16"/>
      <c r="T6" s="17"/>
      <c r="U6" s="15"/>
      <c r="V6" s="14"/>
      <c r="W6" s="16"/>
      <c r="X6" s="17"/>
      <c r="Y6" s="15"/>
      <c r="Z6" s="14"/>
      <c r="AA6" s="16"/>
      <c r="AB6" s="17"/>
      <c r="AC6" s="15"/>
      <c r="AD6" s="14"/>
      <c r="AE6" s="16"/>
      <c r="AF6" s="17"/>
      <c r="AG6" s="15"/>
      <c r="AH6" s="14"/>
      <c r="AI6" s="16"/>
      <c r="AJ6" s="17"/>
      <c r="AK6" s="15"/>
      <c r="AL6" s="14"/>
      <c r="AM6" s="16"/>
      <c r="AN6" s="17"/>
      <c r="AO6" s="15"/>
      <c r="AP6" s="14"/>
      <c r="AQ6" s="16"/>
      <c r="AR6" s="17"/>
      <c r="AS6" s="15"/>
    </row>
    <row r="7" spans="1:45" s="5" customFormat="1" x14ac:dyDescent="0.3">
      <c r="A7" s="20" t="s">
        <v>47</v>
      </c>
      <c r="B7" s="20" t="s">
        <v>43</v>
      </c>
      <c r="C7" s="38"/>
      <c r="D7" s="38"/>
      <c r="E7" s="22"/>
      <c r="F7" s="14"/>
      <c r="G7" s="16"/>
      <c r="H7" s="17"/>
      <c r="I7" s="15"/>
      <c r="J7" s="14"/>
      <c r="K7" s="16"/>
      <c r="L7" s="17"/>
      <c r="M7" s="15"/>
      <c r="N7" s="14"/>
      <c r="O7" s="14"/>
      <c r="P7" s="17"/>
      <c r="Q7" s="15"/>
      <c r="R7" s="14"/>
      <c r="S7" s="16"/>
      <c r="T7" s="17"/>
      <c r="U7" s="15"/>
      <c r="V7" s="14"/>
      <c r="W7" s="16"/>
      <c r="X7" s="17"/>
      <c r="Y7" s="15"/>
      <c r="Z7" s="14"/>
      <c r="AA7" s="16"/>
      <c r="AB7" s="17"/>
      <c r="AC7" s="15"/>
      <c r="AD7" s="14"/>
      <c r="AE7" s="16"/>
      <c r="AF7" s="17"/>
      <c r="AG7" s="15"/>
      <c r="AH7" s="14"/>
      <c r="AI7" s="16"/>
      <c r="AJ7" s="17"/>
      <c r="AK7" s="15"/>
      <c r="AL7" s="14"/>
      <c r="AM7" s="16"/>
      <c r="AN7" s="17"/>
      <c r="AO7" s="15"/>
      <c r="AP7" s="14"/>
      <c r="AQ7" s="16"/>
      <c r="AR7" s="17"/>
      <c r="AS7" s="15"/>
    </row>
    <row r="8" spans="1:45" s="5" customFormat="1" ht="27.6" x14ac:dyDescent="0.3">
      <c r="A8" s="9" t="s">
        <v>18</v>
      </c>
      <c r="B8" s="10" t="s">
        <v>19</v>
      </c>
      <c r="C8" s="21">
        <v>45474</v>
      </c>
      <c r="D8" s="11">
        <v>46327</v>
      </c>
      <c r="E8" s="13">
        <v>1056000000</v>
      </c>
      <c r="F8" s="14">
        <f t="shared" ref="F8:AA8" si="30">F9+F10+F13+F14+SUM(F15:F18)</f>
        <v>1021077.2190000002</v>
      </c>
      <c r="G8" s="16">
        <f t="shared" si="30"/>
        <v>15044577.219000001</v>
      </c>
      <c r="H8" s="17">
        <f t="shared" si="30"/>
        <v>26761090.466980293</v>
      </c>
      <c r="I8" s="15">
        <f t="shared" si="30"/>
        <v>42826744.904980294</v>
      </c>
      <c r="J8" s="14">
        <f t="shared" si="30"/>
        <v>26761090.466980293</v>
      </c>
      <c r="K8" s="16">
        <f t="shared" si="30"/>
        <v>26761090.466980293</v>
      </c>
      <c r="L8" s="17">
        <f t="shared" si="30"/>
        <v>31809550.466980293</v>
      </c>
      <c r="M8" s="15">
        <f t="shared" si="30"/>
        <v>85331731.400940895</v>
      </c>
      <c r="N8" s="14">
        <f t="shared" si="30"/>
        <v>31809550.466980293</v>
      </c>
      <c r="O8" s="16">
        <f t="shared" si="30"/>
        <v>39458732.285162114</v>
      </c>
      <c r="P8" s="17">
        <f t="shared" si="30"/>
        <v>39458732.285162114</v>
      </c>
      <c r="Q8" s="15">
        <f t="shared" si="30"/>
        <v>110727015.03730452</v>
      </c>
      <c r="R8" s="14">
        <f t="shared" si="30"/>
        <v>39458732.285162114</v>
      </c>
      <c r="S8" s="16">
        <f t="shared" si="30"/>
        <v>39458732.285162114</v>
      </c>
      <c r="T8" s="17">
        <f t="shared" si="30"/>
        <v>39458732.285162114</v>
      </c>
      <c r="U8" s="15">
        <f t="shared" si="30"/>
        <v>118376196.85548635</v>
      </c>
      <c r="V8" s="14">
        <f t="shared" si="30"/>
        <v>39458732.285162114</v>
      </c>
      <c r="W8" s="16">
        <f t="shared" si="30"/>
        <v>39458732.285162114</v>
      </c>
      <c r="X8" s="17">
        <f t="shared" si="30"/>
        <v>39458732.285162114</v>
      </c>
      <c r="Y8" s="15">
        <f t="shared" si="30"/>
        <v>118376196.85548635</v>
      </c>
      <c r="Z8" s="14">
        <f t="shared" si="30"/>
        <v>39458732.285162114</v>
      </c>
      <c r="AA8" s="16">
        <f t="shared" si="30"/>
        <v>39458732.285162114</v>
      </c>
      <c r="AB8" s="17">
        <f t="shared" ref="AB8:AS8" si="31">AB9+AB10+AB13+AB14+SUM(AB15:AB18)</f>
        <v>39458732.285162114</v>
      </c>
      <c r="AC8" s="15">
        <f t="shared" si="31"/>
        <v>118376196.85548635</v>
      </c>
      <c r="AD8" s="14">
        <f t="shared" si="31"/>
        <v>39458732.285162114</v>
      </c>
      <c r="AE8" s="16">
        <f t="shared" si="31"/>
        <v>39458732.285162114</v>
      </c>
      <c r="AF8" s="17">
        <f t="shared" si="31"/>
        <v>38437655.066162117</v>
      </c>
      <c r="AG8" s="15">
        <f t="shared" si="31"/>
        <v>117355119.63648635</v>
      </c>
      <c r="AH8" s="14">
        <f t="shared" si="31"/>
        <v>38437655.066162117</v>
      </c>
      <c r="AI8" s="16">
        <f t="shared" si="31"/>
        <v>38437655.066162117</v>
      </c>
      <c r="AJ8" s="17">
        <f t="shared" si="31"/>
        <v>38437655.066162117</v>
      </c>
      <c r="AK8" s="15">
        <f t="shared" si="31"/>
        <v>115312965.19848636</v>
      </c>
      <c r="AL8" s="14">
        <f t="shared" si="31"/>
        <v>38437655.066162117</v>
      </c>
      <c r="AM8" s="16">
        <f t="shared" si="31"/>
        <v>38437655.066162117</v>
      </c>
      <c r="AN8" s="17">
        <f t="shared" si="31"/>
        <v>38437655.066162117</v>
      </c>
      <c r="AO8" s="15">
        <f t="shared" si="31"/>
        <v>115312965.19848636</v>
      </c>
      <c r="AP8" s="14">
        <f t="shared" si="31"/>
        <v>38437655.066162117</v>
      </c>
      <c r="AQ8" s="16">
        <f t="shared" si="31"/>
        <v>38437655.066162117</v>
      </c>
      <c r="AR8" s="17">
        <f t="shared" si="31"/>
        <v>30788473.247980297</v>
      </c>
      <c r="AS8" s="15">
        <f t="shared" si="31"/>
        <v>107663783.38030453</v>
      </c>
    </row>
    <row r="9" spans="1:45" s="5" customFormat="1" ht="82.8" x14ac:dyDescent="0.3">
      <c r="A9" s="19" t="s">
        <v>20</v>
      </c>
      <c r="B9" s="20" t="s">
        <v>21</v>
      </c>
      <c r="C9" s="21">
        <v>45474</v>
      </c>
      <c r="D9" s="21">
        <v>46082</v>
      </c>
      <c r="E9" s="22">
        <v>20421544.380000003</v>
      </c>
      <c r="F9" s="23">
        <v>1021077.2190000002</v>
      </c>
      <c r="G9" s="18">
        <v>1021077.2190000002</v>
      </c>
      <c r="H9" s="25">
        <v>1021077.2190000002</v>
      </c>
      <c r="I9" s="24">
        <f t="shared" ref="I9" si="32">SUM(F9:H9)</f>
        <v>3063231.6570000006</v>
      </c>
      <c r="J9" s="23">
        <v>1021077.2190000002</v>
      </c>
      <c r="K9" s="18">
        <v>1021077.2190000002</v>
      </c>
      <c r="L9" s="25">
        <v>1021077.2190000002</v>
      </c>
      <c r="M9" s="24">
        <f t="shared" ref="M9" si="33">SUM(J9:L9)</f>
        <v>3063231.6570000006</v>
      </c>
      <c r="N9" s="23">
        <v>1021077.2190000002</v>
      </c>
      <c r="O9" s="18">
        <v>1021077.2190000002</v>
      </c>
      <c r="P9" s="25">
        <v>1021077.2190000002</v>
      </c>
      <c r="Q9" s="24">
        <f t="shared" ref="Q9" si="34">SUM(N9:P9)</f>
        <v>3063231.6570000006</v>
      </c>
      <c r="R9" s="23">
        <v>1021077.2190000002</v>
      </c>
      <c r="S9" s="18">
        <v>1021077.2190000002</v>
      </c>
      <c r="T9" s="25">
        <v>1021077.2190000002</v>
      </c>
      <c r="U9" s="24">
        <f t="shared" ref="U9" si="35">SUM(R9:T9)</f>
        <v>3063231.6570000006</v>
      </c>
      <c r="V9" s="23">
        <v>1021077.2190000002</v>
      </c>
      <c r="W9" s="18">
        <v>1021077.2190000002</v>
      </c>
      <c r="X9" s="25">
        <v>1021077.2190000002</v>
      </c>
      <c r="Y9" s="24">
        <f t="shared" ref="Y9" si="36">SUM(V9:X9)</f>
        <v>3063231.6570000006</v>
      </c>
      <c r="Z9" s="23">
        <v>1021077.2190000002</v>
      </c>
      <c r="AA9" s="18">
        <v>1021077.2190000002</v>
      </c>
      <c r="AB9" s="25">
        <v>1021077.2190000002</v>
      </c>
      <c r="AC9" s="24">
        <f t="shared" ref="AC9" si="37">SUM(Z9:AB9)</f>
        <v>3063231.6570000006</v>
      </c>
      <c r="AD9" s="23">
        <v>1021077.2190000002</v>
      </c>
      <c r="AE9" s="18">
        <v>1021077.2190000002</v>
      </c>
      <c r="AF9" s="25"/>
      <c r="AG9" s="24">
        <f t="shared" ref="AG9" si="38">SUM(AD9:AF9)</f>
        <v>2042154.4380000003</v>
      </c>
      <c r="AH9" s="23"/>
      <c r="AI9" s="18"/>
      <c r="AJ9" s="25"/>
      <c r="AK9" s="24">
        <f t="shared" ref="AK9" si="39">SUM(AH9:AJ9)</f>
        <v>0</v>
      </c>
      <c r="AL9" s="23"/>
      <c r="AM9" s="18"/>
      <c r="AN9" s="25"/>
      <c r="AO9" s="24">
        <f t="shared" ref="AO9" si="40">SUM(AL9:AN9)</f>
        <v>0</v>
      </c>
      <c r="AP9" s="23"/>
      <c r="AQ9" s="18"/>
      <c r="AR9" s="25"/>
      <c r="AS9" s="24">
        <f t="shared" ref="AS9" si="41">SUM(AP9:AR9)</f>
        <v>0</v>
      </c>
    </row>
    <row r="10" spans="1:45" s="5" customFormat="1" ht="27.6" x14ac:dyDescent="0.3">
      <c r="A10" s="19" t="s">
        <v>22</v>
      </c>
      <c r="B10" s="20" t="s">
        <v>49</v>
      </c>
      <c r="C10" s="21">
        <v>45505</v>
      </c>
      <c r="D10" s="21">
        <v>46387</v>
      </c>
      <c r="E10" s="22">
        <v>574963500</v>
      </c>
      <c r="F10" s="26">
        <f>SUM(F11:F12)</f>
        <v>0</v>
      </c>
      <c r="G10" s="27">
        <f>SUM(G11:G12)</f>
        <v>14023500</v>
      </c>
      <c r="H10" s="28">
        <f>SUM(H11:H12)</f>
        <v>14023500</v>
      </c>
      <c r="I10" s="24">
        <f t="shared" ref="I10:I14" si="42">SUM(F10:H10)</f>
        <v>28047000</v>
      </c>
      <c r="J10" s="26">
        <f>SUM(J11:J12)</f>
        <v>14023500</v>
      </c>
      <c r="K10" s="27">
        <f>SUM(K11:K12)</f>
        <v>14023500</v>
      </c>
      <c r="L10" s="28">
        <f>SUM(L11:L12)</f>
        <v>14023500</v>
      </c>
      <c r="M10" s="24">
        <f t="shared" ref="M10:M14" si="43">SUM(J10:L10)</f>
        <v>42070500</v>
      </c>
      <c r="N10" s="26">
        <f>SUM(N11:N12)</f>
        <v>14023500</v>
      </c>
      <c r="O10" s="27">
        <f>SUM(O11:O12)</f>
        <v>21672681.81818182</v>
      </c>
      <c r="P10" s="28">
        <f>SUM(P11:P12)</f>
        <v>21672681.81818182</v>
      </c>
      <c r="Q10" s="24">
        <f t="shared" ref="Q10:Q14" si="44">SUM(N10:P10)</f>
        <v>57368863.63636364</v>
      </c>
      <c r="R10" s="26">
        <f>SUM(R11:R12)</f>
        <v>21672681.81818182</v>
      </c>
      <c r="S10" s="27">
        <f>SUM(S11:S12)</f>
        <v>21672681.81818182</v>
      </c>
      <c r="T10" s="28">
        <f>SUM(T11:T12)</f>
        <v>21672681.81818182</v>
      </c>
      <c r="U10" s="24">
        <f t="shared" ref="U10:U14" si="45">SUM(R10:T10)</f>
        <v>65018045.454545461</v>
      </c>
      <c r="V10" s="26">
        <f>SUM(V11:V12)</f>
        <v>21672681.81818182</v>
      </c>
      <c r="W10" s="27">
        <f>SUM(W11:W12)</f>
        <v>21672681.81818182</v>
      </c>
      <c r="X10" s="28">
        <f>SUM(X11:X12)</f>
        <v>21672681.81818182</v>
      </c>
      <c r="Y10" s="24">
        <f t="shared" ref="Y10:Y14" si="46">SUM(V10:X10)</f>
        <v>65018045.454545461</v>
      </c>
      <c r="Z10" s="26">
        <f>SUM(Z11:Z12)</f>
        <v>21672681.81818182</v>
      </c>
      <c r="AA10" s="27">
        <f>SUM(AA11:AA12)</f>
        <v>21672681.81818182</v>
      </c>
      <c r="AB10" s="28">
        <f>SUM(AB11:AB12)</f>
        <v>21672681.81818182</v>
      </c>
      <c r="AC10" s="24">
        <f t="shared" ref="AC10:AC14" si="47">SUM(Z10:AB10)</f>
        <v>65018045.454545461</v>
      </c>
      <c r="AD10" s="26">
        <f>SUM(AD11:AD12)</f>
        <v>21672681.81818182</v>
      </c>
      <c r="AE10" s="27">
        <f>SUM(AE11:AE12)</f>
        <v>21672681.81818182</v>
      </c>
      <c r="AF10" s="28">
        <f>SUM(AF11:AF12)</f>
        <v>21672681.81818182</v>
      </c>
      <c r="AG10" s="24">
        <f t="shared" ref="AG10:AG14" si="48">SUM(AD10:AF10)</f>
        <v>65018045.454545461</v>
      </c>
      <c r="AH10" s="26">
        <f>SUM(AH11:AH12)</f>
        <v>21672681.81818182</v>
      </c>
      <c r="AI10" s="27">
        <f>SUM(AI11:AI12)</f>
        <v>21672681.81818182</v>
      </c>
      <c r="AJ10" s="28">
        <f>SUM(AJ11:AJ12)</f>
        <v>21672681.81818182</v>
      </c>
      <c r="AK10" s="24">
        <f t="shared" ref="AK10:AK14" si="49">SUM(AH10:AJ10)</f>
        <v>65018045.454545461</v>
      </c>
      <c r="AL10" s="26">
        <f>SUM(AL11:AL12)</f>
        <v>21672681.81818182</v>
      </c>
      <c r="AM10" s="27">
        <f>SUM(AM11:AM12)</f>
        <v>21672681.81818182</v>
      </c>
      <c r="AN10" s="28">
        <f>SUM(AN11:AN12)</f>
        <v>21672681.81818182</v>
      </c>
      <c r="AO10" s="24">
        <f t="shared" ref="AO10:AO14" si="50">SUM(AL10:AN10)</f>
        <v>65018045.454545461</v>
      </c>
      <c r="AP10" s="26">
        <f>SUM(AP11:AP12)</f>
        <v>21672681.81818182</v>
      </c>
      <c r="AQ10" s="27">
        <f>SUM(AQ11:AQ12)</f>
        <v>21672681.81818182</v>
      </c>
      <c r="AR10" s="28">
        <f>SUM(AR11:AR12)</f>
        <v>14023500</v>
      </c>
      <c r="AS10" s="24">
        <f t="shared" ref="AS10:AS14" si="51">SUM(AP10:AR10)</f>
        <v>57368863.63636364</v>
      </c>
    </row>
    <row r="11" spans="1:45" s="5" customFormat="1" ht="16.95" customHeight="1" x14ac:dyDescent="0.3">
      <c r="A11" s="29" t="s">
        <v>23</v>
      </c>
      <c r="B11" s="30" t="s">
        <v>24</v>
      </c>
      <c r="C11" s="31">
        <v>45689</v>
      </c>
      <c r="D11" s="21">
        <v>46387</v>
      </c>
      <c r="E11" s="32">
        <v>168282000</v>
      </c>
      <c r="F11" s="33"/>
      <c r="G11" s="34"/>
      <c r="H11" s="35"/>
      <c r="I11" s="24">
        <f t="shared" si="42"/>
        <v>0</v>
      </c>
      <c r="J11" s="33"/>
      <c r="K11" s="34"/>
      <c r="L11" s="35"/>
      <c r="M11" s="24">
        <f t="shared" si="43"/>
        <v>0</v>
      </c>
      <c r="N11" s="33"/>
      <c r="O11" s="34">
        <v>7649181.8181818184</v>
      </c>
      <c r="P11" s="34">
        <v>7649181.8181818184</v>
      </c>
      <c r="Q11" s="24">
        <f t="shared" si="44"/>
        <v>15298363.636363637</v>
      </c>
      <c r="R11" s="34">
        <v>7649181.8181818184</v>
      </c>
      <c r="S11" s="34">
        <v>7649181.8181818184</v>
      </c>
      <c r="T11" s="34">
        <v>7649181.8181818184</v>
      </c>
      <c r="U11" s="24">
        <f t="shared" si="45"/>
        <v>22947545.454545453</v>
      </c>
      <c r="V11" s="33">
        <v>7649181.8181818184</v>
      </c>
      <c r="W11" s="34">
        <v>7649181.8181818184</v>
      </c>
      <c r="X11" s="35">
        <v>7649181.8181818184</v>
      </c>
      <c r="Y11" s="24">
        <f t="shared" si="46"/>
        <v>22947545.454545453</v>
      </c>
      <c r="Z11" s="33">
        <v>7649181.8181818184</v>
      </c>
      <c r="AA11" s="34">
        <v>7649181.8181818184</v>
      </c>
      <c r="AB11" s="35">
        <v>7649181.8181818184</v>
      </c>
      <c r="AC11" s="24">
        <f t="shared" si="47"/>
        <v>22947545.454545453</v>
      </c>
      <c r="AD11" s="33">
        <v>7649181.8181818184</v>
      </c>
      <c r="AE11" s="34">
        <v>7649181.8181818184</v>
      </c>
      <c r="AF11" s="35">
        <v>7649181.8181818184</v>
      </c>
      <c r="AG11" s="24">
        <f t="shared" si="48"/>
        <v>22947545.454545453</v>
      </c>
      <c r="AH11" s="33">
        <v>7649181.8181818184</v>
      </c>
      <c r="AI11" s="34">
        <v>7649181.8181818184</v>
      </c>
      <c r="AJ11" s="35">
        <v>7649181.8181818184</v>
      </c>
      <c r="AK11" s="24">
        <f t="shared" si="49"/>
        <v>22947545.454545453</v>
      </c>
      <c r="AL11" s="33">
        <v>7649181.8181818184</v>
      </c>
      <c r="AM11" s="34">
        <v>7649181.8181818184</v>
      </c>
      <c r="AN11" s="35">
        <v>7649181.8181818184</v>
      </c>
      <c r="AO11" s="24">
        <f t="shared" si="50"/>
        <v>22947545.454545453</v>
      </c>
      <c r="AP11" s="33">
        <v>7649181.8181818184</v>
      </c>
      <c r="AQ11" s="34">
        <v>7649181.8181818184</v>
      </c>
      <c r="AR11" s="35"/>
      <c r="AS11" s="24">
        <f t="shared" si="51"/>
        <v>15298363.636363637</v>
      </c>
    </row>
    <row r="12" spans="1:45" s="5" customFormat="1" ht="47.4" customHeight="1" x14ac:dyDescent="0.3">
      <c r="A12" s="36" t="s">
        <v>25</v>
      </c>
      <c r="B12" s="37" t="s">
        <v>48</v>
      </c>
      <c r="C12" s="38">
        <v>45505</v>
      </c>
      <c r="D12" s="39">
        <v>46387</v>
      </c>
      <c r="E12" s="32">
        <v>406681500</v>
      </c>
      <c r="F12" s="33"/>
      <c r="G12" s="34">
        <v>14023500</v>
      </c>
      <c r="H12" s="34">
        <v>14023500</v>
      </c>
      <c r="I12" s="24">
        <f t="shared" si="42"/>
        <v>28047000</v>
      </c>
      <c r="J12" s="34">
        <v>14023500</v>
      </c>
      <c r="K12" s="34">
        <v>14023500</v>
      </c>
      <c r="L12" s="34">
        <v>14023500</v>
      </c>
      <c r="M12" s="24">
        <f t="shared" si="43"/>
        <v>42070500</v>
      </c>
      <c r="N12" s="34">
        <v>14023500</v>
      </c>
      <c r="O12" s="34">
        <v>14023500</v>
      </c>
      <c r="P12" s="34">
        <v>14023500</v>
      </c>
      <c r="Q12" s="24">
        <f t="shared" si="44"/>
        <v>42070500</v>
      </c>
      <c r="R12" s="34">
        <v>14023500</v>
      </c>
      <c r="S12" s="34">
        <v>14023500</v>
      </c>
      <c r="T12" s="34">
        <v>14023500</v>
      </c>
      <c r="U12" s="24">
        <f t="shared" si="45"/>
        <v>42070500</v>
      </c>
      <c r="V12" s="34">
        <v>14023500</v>
      </c>
      <c r="W12" s="34">
        <v>14023500</v>
      </c>
      <c r="X12" s="34">
        <v>14023500</v>
      </c>
      <c r="Y12" s="24">
        <f t="shared" si="46"/>
        <v>42070500</v>
      </c>
      <c r="Z12" s="34">
        <v>14023500</v>
      </c>
      <c r="AA12" s="34">
        <v>14023500</v>
      </c>
      <c r="AB12" s="34">
        <v>14023500</v>
      </c>
      <c r="AC12" s="24">
        <f t="shared" si="47"/>
        <v>42070500</v>
      </c>
      <c r="AD12" s="34">
        <v>14023500</v>
      </c>
      <c r="AE12" s="34">
        <v>14023500</v>
      </c>
      <c r="AF12" s="34">
        <v>14023500</v>
      </c>
      <c r="AG12" s="24">
        <f t="shared" si="48"/>
        <v>42070500</v>
      </c>
      <c r="AH12" s="34">
        <v>14023500</v>
      </c>
      <c r="AI12" s="34">
        <v>14023500</v>
      </c>
      <c r="AJ12" s="34">
        <v>14023500</v>
      </c>
      <c r="AK12" s="24">
        <f t="shared" si="49"/>
        <v>42070500</v>
      </c>
      <c r="AL12" s="34">
        <v>14023500</v>
      </c>
      <c r="AM12" s="34">
        <v>14023500</v>
      </c>
      <c r="AN12" s="34">
        <v>14023500</v>
      </c>
      <c r="AO12" s="24">
        <f t="shared" si="50"/>
        <v>42070500</v>
      </c>
      <c r="AP12" s="34">
        <v>14023500</v>
      </c>
      <c r="AQ12" s="34">
        <v>14023500</v>
      </c>
      <c r="AR12" s="34">
        <v>14023500</v>
      </c>
      <c r="AS12" s="24">
        <f t="shared" si="51"/>
        <v>42070500</v>
      </c>
    </row>
    <row r="13" spans="1:45" s="5" customFormat="1" ht="27.6" x14ac:dyDescent="0.3">
      <c r="A13" s="40" t="s">
        <v>26</v>
      </c>
      <c r="B13" s="41" t="s">
        <v>27</v>
      </c>
      <c r="C13" s="21">
        <v>45627</v>
      </c>
      <c r="D13" s="21">
        <v>46387</v>
      </c>
      <c r="E13" s="42">
        <v>126211500</v>
      </c>
      <c r="F13" s="26"/>
      <c r="G13" s="27"/>
      <c r="H13" s="28"/>
      <c r="I13" s="24">
        <f t="shared" si="42"/>
        <v>0</v>
      </c>
      <c r="J13" s="26"/>
      <c r="K13" s="27"/>
      <c r="L13" s="28">
        <v>5048460</v>
      </c>
      <c r="M13" s="24">
        <f t="shared" si="43"/>
        <v>5048460</v>
      </c>
      <c r="N13" s="28">
        <v>5048460</v>
      </c>
      <c r="O13" s="28">
        <v>5048460</v>
      </c>
      <c r="P13" s="28">
        <v>5048460</v>
      </c>
      <c r="Q13" s="24">
        <f t="shared" si="44"/>
        <v>15145380</v>
      </c>
      <c r="R13" s="26">
        <v>5048460</v>
      </c>
      <c r="S13" s="27">
        <v>5048460</v>
      </c>
      <c r="T13" s="28">
        <v>5048460</v>
      </c>
      <c r="U13" s="24">
        <f t="shared" si="45"/>
        <v>15145380</v>
      </c>
      <c r="V13" s="26">
        <v>5048460</v>
      </c>
      <c r="W13" s="27">
        <v>5048460</v>
      </c>
      <c r="X13" s="28">
        <v>5048460</v>
      </c>
      <c r="Y13" s="24">
        <f t="shared" si="46"/>
        <v>15145380</v>
      </c>
      <c r="Z13" s="26">
        <v>5048460</v>
      </c>
      <c r="AA13" s="27">
        <v>5048460</v>
      </c>
      <c r="AB13" s="28">
        <v>5048460</v>
      </c>
      <c r="AC13" s="24">
        <f t="shared" si="47"/>
        <v>15145380</v>
      </c>
      <c r="AD13" s="26">
        <v>5048460</v>
      </c>
      <c r="AE13" s="27">
        <v>5048460</v>
      </c>
      <c r="AF13" s="28">
        <v>5048460</v>
      </c>
      <c r="AG13" s="24">
        <f t="shared" si="48"/>
        <v>15145380</v>
      </c>
      <c r="AH13" s="26">
        <v>5048460</v>
      </c>
      <c r="AI13" s="27">
        <v>5048460</v>
      </c>
      <c r="AJ13" s="28">
        <v>5048460</v>
      </c>
      <c r="AK13" s="24">
        <f t="shared" si="49"/>
        <v>15145380</v>
      </c>
      <c r="AL13" s="26">
        <v>5048460</v>
      </c>
      <c r="AM13" s="27">
        <v>5048460</v>
      </c>
      <c r="AN13" s="28">
        <v>5048460</v>
      </c>
      <c r="AO13" s="24">
        <f t="shared" si="50"/>
        <v>15145380</v>
      </c>
      <c r="AP13" s="26">
        <v>5048460</v>
      </c>
      <c r="AQ13" s="27">
        <v>5048460</v>
      </c>
      <c r="AR13" s="28">
        <v>5048460</v>
      </c>
      <c r="AS13" s="24">
        <f t="shared" si="51"/>
        <v>15145380</v>
      </c>
    </row>
    <row r="14" spans="1:45" s="5" customFormat="1" x14ac:dyDescent="0.3">
      <c r="A14" s="40" t="s">
        <v>28</v>
      </c>
      <c r="B14" s="41" t="s">
        <v>29</v>
      </c>
      <c r="C14" s="21">
        <v>45536</v>
      </c>
      <c r="D14" s="21">
        <v>46387</v>
      </c>
      <c r="E14" s="42">
        <v>70530000</v>
      </c>
      <c r="F14" s="26"/>
      <c r="G14" s="27"/>
      <c r="H14" s="28">
        <v>2518928.5714285714</v>
      </c>
      <c r="I14" s="24">
        <f t="shared" si="42"/>
        <v>2518928.5714285714</v>
      </c>
      <c r="J14" s="26">
        <v>2518928.5714285714</v>
      </c>
      <c r="K14" s="27">
        <v>2518928.5714285714</v>
      </c>
      <c r="L14" s="28">
        <v>2518928.5714285714</v>
      </c>
      <c r="M14" s="24">
        <f t="shared" si="43"/>
        <v>7556785.7142857146</v>
      </c>
      <c r="N14" s="26">
        <v>2518928.5714285714</v>
      </c>
      <c r="O14" s="27">
        <v>2518928.5714285714</v>
      </c>
      <c r="P14" s="28">
        <v>2518928.5714285714</v>
      </c>
      <c r="Q14" s="24">
        <f t="shared" si="44"/>
        <v>7556785.7142857146</v>
      </c>
      <c r="R14" s="26">
        <v>2518928.5714285714</v>
      </c>
      <c r="S14" s="27">
        <v>2518928.5714285714</v>
      </c>
      <c r="T14" s="28">
        <v>2518928.5714285714</v>
      </c>
      <c r="U14" s="24">
        <f t="shared" si="45"/>
        <v>7556785.7142857146</v>
      </c>
      <c r="V14" s="26">
        <v>2518928.5714285714</v>
      </c>
      <c r="W14" s="27">
        <v>2518928.5714285714</v>
      </c>
      <c r="X14" s="28">
        <v>2518928.5714285714</v>
      </c>
      <c r="Y14" s="24">
        <f t="shared" si="46"/>
        <v>7556785.7142857146</v>
      </c>
      <c r="Z14" s="26">
        <v>2518928.5714285714</v>
      </c>
      <c r="AA14" s="27">
        <v>2518928.5714285714</v>
      </c>
      <c r="AB14" s="28">
        <v>2518928.5714285714</v>
      </c>
      <c r="AC14" s="24">
        <f t="shared" si="47"/>
        <v>7556785.7142857146</v>
      </c>
      <c r="AD14" s="26">
        <v>2518928.5714285714</v>
      </c>
      <c r="AE14" s="27">
        <v>2518928.5714285714</v>
      </c>
      <c r="AF14" s="28">
        <v>2518928.5714285714</v>
      </c>
      <c r="AG14" s="24">
        <f t="shared" si="48"/>
        <v>7556785.7142857146</v>
      </c>
      <c r="AH14" s="26">
        <v>2518928.5714285714</v>
      </c>
      <c r="AI14" s="27">
        <v>2518928.5714285714</v>
      </c>
      <c r="AJ14" s="28">
        <v>2518928.5714285714</v>
      </c>
      <c r="AK14" s="24">
        <f t="shared" si="49"/>
        <v>7556785.7142857146</v>
      </c>
      <c r="AL14" s="26">
        <v>2518928.5714285714</v>
      </c>
      <c r="AM14" s="27">
        <v>2518928.5714285714</v>
      </c>
      <c r="AN14" s="28">
        <v>2518928.5714285714</v>
      </c>
      <c r="AO14" s="24">
        <f t="shared" si="50"/>
        <v>7556785.7142857146</v>
      </c>
      <c r="AP14" s="26">
        <v>2518928.5714285714</v>
      </c>
      <c r="AQ14" s="27">
        <v>2518928.5714285714</v>
      </c>
      <c r="AR14" s="28">
        <v>2518928.5714285714</v>
      </c>
      <c r="AS14" s="24">
        <f t="shared" si="51"/>
        <v>7556785.7142857146</v>
      </c>
    </row>
    <row r="15" spans="1:45" s="5" customFormat="1" ht="27.6" x14ac:dyDescent="0.3">
      <c r="A15" s="19" t="s">
        <v>30</v>
      </c>
      <c r="B15" s="20" t="s">
        <v>31</v>
      </c>
      <c r="C15" s="21">
        <v>45901</v>
      </c>
      <c r="D15" s="21">
        <v>46387</v>
      </c>
      <c r="E15" s="22">
        <v>68472000</v>
      </c>
      <c r="F15" s="23"/>
      <c r="G15" s="18"/>
      <c r="H15" s="28">
        <v>2445428.5714285714</v>
      </c>
      <c r="I15" s="24">
        <f t="shared" ref="I15:I19" si="52">SUM(F15:H15)</f>
        <v>2445428.5714285714</v>
      </c>
      <c r="J15" s="23">
        <v>2445428.5714285714</v>
      </c>
      <c r="K15" s="18">
        <v>2445428.5714285714</v>
      </c>
      <c r="L15" s="25">
        <v>2445428.5714285714</v>
      </c>
      <c r="M15" s="24">
        <f t="shared" ref="M15:M19" si="53">SUM(J15:L15)</f>
        <v>7336285.7142857146</v>
      </c>
      <c r="N15" s="23">
        <v>2445428.5714285714</v>
      </c>
      <c r="O15" s="18">
        <v>2445428.5714285714</v>
      </c>
      <c r="P15" s="25">
        <v>2445428.5714285714</v>
      </c>
      <c r="Q15" s="24">
        <f t="shared" ref="Q15:Q19" si="54">SUM(N15:P15)</f>
        <v>7336285.7142857146</v>
      </c>
      <c r="R15" s="23">
        <v>2445428.5714285714</v>
      </c>
      <c r="S15" s="18">
        <v>2445428.5714285714</v>
      </c>
      <c r="T15" s="25">
        <v>2445428.5714285714</v>
      </c>
      <c r="U15" s="24">
        <f t="shared" ref="U15:U19" si="55">SUM(R15:T15)</f>
        <v>7336285.7142857146</v>
      </c>
      <c r="V15" s="23">
        <v>2445428.5714285714</v>
      </c>
      <c r="W15" s="18">
        <v>2445428.5714285714</v>
      </c>
      <c r="X15" s="25">
        <v>2445428.5714285714</v>
      </c>
      <c r="Y15" s="24">
        <f t="shared" ref="Y15:Y19" si="56">SUM(V15:X15)</f>
        <v>7336285.7142857146</v>
      </c>
      <c r="Z15" s="23">
        <v>2445428.5714285714</v>
      </c>
      <c r="AA15" s="18">
        <v>2445428.5714285714</v>
      </c>
      <c r="AB15" s="25">
        <v>2445428.5714285714</v>
      </c>
      <c r="AC15" s="24">
        <f t="shared" ref="AC15:AC19" si="57">SUM(Z15:AB15)</f>
        <v>7336285.7142857146</v>
      </c>
      <c r="AD15" s="23">
        <v>2445428.5714285714</v>
      </c>
      <c r="AE15" s="18">
        <v>2445428.5714285714</v>
      </c>
      <c r="AF15" s="25">
        <v>2445428.5714285714</v>
      </c>
      <c r="AG15" s="24">
        <f t="shared" ref="AG15:AG19" si="58">SUM(AD15:AF15)</f>
        <v>7336285.7142857146</v>
      </c>
      <c r="AH15" s="23">
        <v>2445428.5714285714</v>
      </c>
      <c r="AI15" s="18">
        <v>2445428.5714285714</v>
      </c>
      <c r="AJ15" s="25">
        <v>2445428.5714285714</v>
      </c>
      <c r="AK15" s="24">
        <f t="shared" ref="AK15:AK19" si="59">SUM(AH15:AJ15)</f>
        <v>7336285.7142857146</v>
      </c>
      <c r="AL15" s="23">
        <v>2445428.5714285714</v>
      </c>
      <c r="AM15" s="18">
        <v>2445428.5714285714</v>
      </c>
      <c r="AN15" s="25">
        <v>2445428.5714285714</v>
      </c>
      <c r="AO15" s="24">
        <f t="shared" ref="AO15:AO19" si="60">SUM(AL15:AN15)</f>
        <v>7336285.7142857146</v>
      </c>
      <c r="AP15" s="23">
        <v>2445428.5714285714</v>
      </c>
      <c r="AQ15" s="18">
        <v>2445428.5714285714</v>
      </c>
      <c r="AR15" s="25">
        <v>2445428.5714285714</v>
      </c>
      <c r="AS15" s="24">
        <f t="shared" ref="AS15:AS19" si="61">SUM(AP15:AR15)</f>
        <v>7336285.7142857146</v>
      </c>
    </row>
    <row r="16" spans="1:45" s="5" customFormat="1" ht="41.4" x14ac:dyDescent="0.3">
      <c r="A16" s="19" t="s">
        <v>32</v>
      </c>
      <c r="B16" s="20" t="s">
        <v>33</v>
      </c>
      <c r="C16" s="21">
        <v>45536</v>
      </c>
      <c r="D16" s="21">
        <v>46387</v>
      </c>
      <c r="E16" s="22">
        <v>11510000</v>
      </c>
      <c r="F16" s="23"/>
      <c r="G16" s="18"/>
      <c r="H16" s="28">
        <v>411071.42857142858</v>
      </c>
      <c r="I16" s="24">
        <f t="shared" si="52"/>
        <v>411071.42857142858</v>
      </c>
      <c r="J16" s="23">
        <v>411071.42857142858</v>
      </c>
      <c r="K16" s="18">
        <v>411071.42857142858</v>
      </c>
      <c r="L16" s="25">
        <v>411071.42857142858</v>
      </c>
      <c r="M16" s="24">
        <f t="shared" si="53"/>
        <v>1233214.2857142857</v>
      </c>
      <c r="N16" s="23">
        <v>411071.42857142858</v>
      </c>
      <c r="O16" s="18">
        <v>411071.42857142858</v>
      </c>
      <c r="P16" s="25">
        <v>411071.42857142858</v>
      </c>
      <c r="Q16" s="24">
        <f t="shared" si="54"/>
        <v>1233214.2857142857</v>
      </c>
      <c r="R16" s="23">
        <v>411071.42857142858</v>
      </c>
      <c r="S16" s="18">
        <v>411071.42857142858</v>
      </c>
      <c r="T16" s="25">
        <v>411071.42857142858</v>
      </c>
      <c r="U16" s="24">
        <f t="shared" si="55"/>
        <v>1233214.2857142857</v>
      </c>
      <c r="V16" s="23">
        <v>411071.42857142858</v>
      </c>
      <c r="W16" s="18">
        <v>411071.42857142858</v>
      </c>
      <c r="X16" s="25">
        <v>411071.42857142858</v>
      </c>
      <c r="Y16" s="24">
        <f t="shared" si="56"/>
        <v>1233214.2857142857</v>
      </c>
      <c r="Z16" s="23">
        <v>411071.42857142858</v>
      </c>
      <c r="AA16" s="18">
        <v>411071.42857142858</v>
      </c>
      <c r="AB16" s="25">
        <v>411071.42857142858</v>
      </c>
      <c r="AC16" s="24">
        <f t="shared" si="57"/>
        <v>1233214.2857142857</v>
      </c>
      <c r="AD16" s="23">
        <v>411071.42857142858</v>
      </c>
      <c r="AE16" s="18">
        <v>411071.42857142858</v>
      </c>
      <c r="AF16" s="25">
        <v>411071.42857142858</v>
      </c>
      <c r="AG16" s="24">
        <f t="shared" si="58"/>
        <v>1233214.2857142857</v>
      </c>
      <c r="AH16" s="23">
        <v>411071.42857142858</v>
      </c>
      <c r="AI16" s="18">
        <v>411071.42857142858</v>
      </c>
      <c r="AJ16" s="25">
        <v>411071.42857142858</v>
      </c>
      <c r="AK16" s="24">
        <f t="shared" si="59"/>
        <v>1233214.2857142857</v>
      </c>
      <c r="AL16" s="23">
        <v>411071.42857142858</v>
      </c>
      <c r="AM16" s="18">
        <v>411071.42857142858</v>
      </c>
      <c r="AN16" s="25">
        <v>411071.42857142858</v>
      </c>
      <c r="AO16" s="24">
        <f t="shared" si="60"/>
        <v>1233214.2857142857</v>
      </c>
      <c r="AP16" s="23">
        <v>411071.42857142858</v>
      </c>
      <c r="AQ16" s="18">
        <v>411071.42857142858</v>
      </c>
      <c r="AR16" s="25">
        <v>411071.42857142858</v>
      </c>
      <c r="AS16" s="24">
        <f t="shared" si="61"/>
        <v>1233214.2857142857</v>
      </c>
    </row>
    <row r="17" spans="1:45" s="5" customFormat="1" ht="55.2" x14ac:dyDescent="0.3">
      <c r="A17" s="19" t="s">
        <v>34</v>
      </c>
      <c r="B17" s="20" t="s">
        <v>35</v>
      </c>
      <c r="C17" s="21">
        <v>45505</v>
      </c>
      <c r="D17" s="21">
        <v>46387</v>
      </c>
      <c r="E17" s="22">
        <v>24505000</v>
      </c>
      <c r="F17" s="23"/>
      <c r="G17" s="18"/>
      <c r="H17" s="25">
        <v>845000</v>
      </c>
      <c r="I17" s="24">
        <f t="shared" si="52"/>
        <v>845000</v>
      </c>
      <c r="J17" s="23">
        <v>845000</v>
      </c>
      <c r="K17" s="18">
        <v>845000</v>
      </c>
      <c r="L17" s="25">
        <v>845000</v>
      </c>
      <c r="M17" s="24">
        <f t="shared" si="53"/>
        <v>2535000</v>
      </c>
      <c r="N17" s="23">
        <v>845000</v>
      </c>
      <c r="O17" s="18">
        <v>845000</v>
      </c>
      <c r="P17" s="25">
        <v>845000</v>
      </c>
      <c r="Q17" s="24">
        <f t="shared" si="54"/>
        <v>2535000</v>
      </c>
      <c r="R17" s="23">
        <v>845000</v>
      </c>
      <c r="S17" s="18">
        <v>845000</v>
      </c>
      <c r="T17" s="25">
        <v>845000</v>
      </c>
      <c r="U17" s="24">
        <f t="shared" si="55"/>
        <v>2535000</v>
      </c>
      <c r="V17" s="23">
        <v>845000</v>
      </c>
      <c r="W17" s="18">
        <v>845000</v>
      </c>
      <c r="X17" s="25">
        <v>845000</v>
      </c>
      <c r="Y17" s="24">
        <f t="shared" si="56"/>
        <v>2535000</v>
      </c>
      <c r="Z17" s="23">
        <v>845000</v>
      </c>
      <c r="AA17" s="18">
        <v>845000</v>
      </c>
      <c r="AB17" s="25">
        <v>845000</v>
      </c>
      <c r="AC17" s="24">
        <f t="shared" si="57"/>
        <v>2535000</v>
      </c>
      <c r="AD17" s="23">
        <v>845000</v>
      </c>
      <c r="AE17" s="18">
        <v>845000</v>
      </c>
      <c r="AF17" s="25">
        <v>845000</v>
      </c>
      <c r="AG17" s="24">
        <f t="shared" si="58"/>
        <v>2535000</v>
      </c>
      <c r="AH17" s="23">
        <v>845000</v>
      </c>
      <c r="AI17" s="18">
        <v>845000</v>
      </c>
      <c r="AJ17" s="25">
        <v>845000</v>
      </c>
      <c r="AK17" s="24">
        <f t="shared" si="59"/>
        <v>2535000</v>
      </c>
      <c r="AL17" s="23">
        <v>845000</v>
      </c>
      <c r="AM17" s="18">
        <v>845000</v>
      </c>
      <c r="AN17" s="25">
        <v>845000</v>
      </c>
      <c r="AO17" s="24">
        <f t="shared" si="60"/>
        <v>2535000</v>
      </c>
      <c r="AP17" s="23">
        <v>845000</v>
      </c>
      <c r="AQ17" s="18">
        <v>845000</v>
      </c>
      <c r="AR17" s="25">
        <v>845000</v>
      </c>
      <c r="AS17" s="24">
        <f t="shared" si="61"/>
        <v>2535000</v>
      </c>
    </row>
    <row r="18" spans="1:45" s="5" customFormat="1" ht="29.25" customHeight="1" x14ac:dyDescent="0.3">
      <c r="A18" s="19" t="s">
        <v>36</v>
      </c>
      <c r="B18" s="20" t="s">
        <v>37</v>
      </c>
      <c r="C18" s="21">
        <v>45505</v>
      </c>
      <c r="D18" s="21">
        <v>46387</v>
      </c>
      <c r="E18" s="22">
        <v>159386455.62</v>
      </c>
      <c r="F18" s="23"/>
      <c r="G18" s="18"/>
      <c r="H18" s="25">
        <v>5496084.6765517239</v>
      </c>
      <c r="I18" s="24">
        <f t="shared" si="52"/>
        <v>5496084.6765517239</v>
      </c>
      <c r="J18" s="23">
        <v>5496084.6765517239</v>
      </c>
      <c r="K18" s="18">
        <v>5496084.6765517239</v>
      </c>
      <c r="L18" s="25">
        <v>5496084.6765517239</v>
      </c>
      <c r="M18" s="24">
        <f t="shared" si="53"/>
        <v>16488254.029655172</v>
      </c>
      <c r="N18" s="23">
        <v>5496084.6765517239</v>
      </c>
      <c r="O18" s="18">
        <v>5496084.6765517239</v>
      </c>
      <c r="P18" s="25">
        <v>5496084.6765517239</v>
      </c>
      <c r="Q18" s="24">
        <f t="shared" si="54"/>
        <v>16488254.029655172</v>
      </c>
      <c r="R18" s="23">
        <v>5496084.6765517239</v>
      </c>
      <c r="S18" s="18">
        <v>5496084.6765517239</v>
      </c>
      <c r="T18" s="25">
        <v>5496084.6765517239</v>
      </c>
      <c r="U18" s="24">
        <f t="shared" si="55"/>
        <v>16488254.029655172</v>
      </c>
      <c r="V18" s="23">
        <v>5496084.6765517239</v>
      </c>
      <c r="W18" s="18">
        <v>5496084.6765517239</v>
      </c>
      <c r="X18" s="25">
        <v>5496084.6765517239</v>
      </c>
      <c r="Y18" s="24">
        <f t="shared" si="56"/>
        <v>16488254.029655172</v>
      </c>
      <c r="Z18" s="23">
        <v>5496084.6765517239</v>
      </c>
      <c r="AA18" s="18">
        <v>5496084.6765517239</v>
      </c>
      <c r="AB18" s="25">
        <v>5496084.6765517239</v>
      </c>
      <c r="AC18" s="24">
        <f t="shared" si="57"/>
        <v>16488254.029655172</v>
      </c>
      <c r="AD18" s="23">
        <v>5496084.6765517239</v>
      </c>
      <c r="AE18" s="18">
        <v>5496084.6765517239</v>
      </c>
      <c r="AF18" s="25">
        <v>5496084.6765517239</v>
      </c>
      <c r="AG18" s="24">
        <f t="shared" si="58"/>
        <v>16488254.029655172</v>
      </c>
      <c r="AH18" s="23">
        <v>5496084.6765517239</v>
      </c>
      <c r="AI18" s="18">
        <v>5496084.6765517239</v>
      </c>
      <c r="AJ18" s="25">
        <v>5496084.6765517239</v>
      </c>
      <c r="AK18" s="24">
        <f t="shared" si="59"/>
        <v>16488254.029655172</v>
      </c>
      <c r="AL18" s="23">
        <v>5496084.6765517239</v>
      </c>
      <c r="AM18" s="18">
        <v>5496084.6765517239</v>
      </c>
      <c r="AN18" s="25">
        <v>5496084.6765517239</v>
      </c>
      <c r="AO18" s="24">
        <f t="shared" si="60"/>
        <v>16488254.029655172</v>
      </c>
      <c r="AP18" s="23">
        <v>5496084.6765517239</v>
      </c>
      <c r="AQ18" s="18">
        <v>5496084.6765517239</v>
      </c>
      <c r="AR18" s="25">
        <v>5496084.6765517239</v>
      </c>
      <c r="AS18" s="24">
        <f t="shared" si="61"/>
        <v>16488254.029655172</v>
      </c>
    </row>
    <row r="19" spans="1:45" s="5" customFormat="1" ht="27.6" x14ac:dyDescent="0.3">
      <c r="A19" s="9" t="s">
        <v>38</v>
      </c>
      <c r="B19" s="10" t="s">
        <v>39</v>
      </c>
      <c r="C19" s="11">
        <v>45505</v>
      </c>
      <c r="D19" s="11">
        <v>46387</v>
      </c>
      <c r="E19" s="13">
        <v>100000000</v>
      </c>
      <c r="F19" s="14"/>
      <c r="G19" s="16"/>
      <c r="H19" s="25">
        <v>3448275.8620689656</v>
      </c>
      <c r="I19" s="15">
        <f t="shared" si="52"/>
        <v>3448275.8620689656</v>
      </c>
      <c r="J19" s="14">
        <v>3448275.8620689656</v>
      </c>
      <c r="K19" s="16">
        <v>3448275.8620689656</v>
      </c>
      <c r="L19" s="17">
        <v>3448275.8620689656</v>
      </c>
      <c r="M19" s="15">
        <f t="shared" si="53"/>
        <v>10344827.586206896</v>
      </c>
      <c r="N19" s="14">
        <v>3448275.8620689656</v>
      </c>
      <c r="O19" s="16">
        <v>3448275.8620689656</v>
      </c>
      <c r="P19" s="17">
        <v>3448275.8620689656</v>
      </c>
      <c r="Q19" s="15">
        <f t="shared" si="54"/>
        <v>10344827.586206896</v>
      </c>
      <c r="R19" s="14">
        <v>3448275.8620689656</v>
      </c>
      <c r="S19" s="16">
        <v>3448275.8620689656</v>
      </c>
      <c r="T19" s="17">
        <v>3448275.8620689656</v>
      </c>
      <c r="U19" s="15">
        <f t="shared" si="55"/>
        <v>10344827.586206896</v>
      </c>
      <c r="V19" s="14">
        <v>3448275.8620689656</v>
      </c>
      <c r="W19" s="16">
        <v>3448275.8620689656</v>
      </c>
      <c r="X19" s="17">
        <v>3448275.8620689656</v>
      </c>
      <c r="Y19" s="15">
        <f t="shared" si="56"/>
        <v>10344827.586206896</v>
      </c>
      <c r="Z19" s="14">
        <v>3448275.8620689656</v>
      </c>
      <c r="AA19" s="16">
        <v>3448275.8620689656</v>
      </c>
      <c r="AB19" s="17">
        <v>3448275.8620689656</v>
      </c>
      <c r="AC19" s="15">
        <f t="shared" si="57"/>
        <v>10344827.586206896</v>
      </c>
      <c r="AD19" s="14">
        <v>3448275.8620689656</v>
      </c>
      <c r="AE19" s="16">
        <v>3448275.8620689656</v>
      </c>
      <c r="AF19" s="17">
        <v>3448275.8620689656</v>
      </c>
      <c r="AG19" s="15">
        <f t="shared" si="58"/>
        <v>10344827.586206896</v>
      </c>
      <c r="AH19" s="14">
        <v>3448275.8620689656</v>
      </c>
      <c r="AI19" s="16">
        <v>3448275.8620689656</v>
      </c>
      <c r="AJ19" s="17">
        <v>3448275.8620689656</v>
      </c>
      <c r="AK19" s="15">
        <f t="shared" si="59"/>
        <v>10344827.586206896</v>
      </c>
      <c r="AL19" s="14">
        <v>3448275.8620689656</v>
      </c>
      <c r="AM19" s="16">
        <v>3448275.8620689656</v>
      </c>
      <c r="AN19" s="17">
        <v>3448275.8620689656</v>
      </c>
      <c r="AO19" s="15">
        <f t="shared" si="60"/>
        <v>10344827.586206896</v>
      </c>
      <c r="AP19" s="14">
        <v>3448275.8620689656</v>
      </c>
      <c r="AQ19" s="16">
        <v>3448275.8620689656</v>
      </c>
      <c r="AR19" s="17">
        <v>3448275.8620689656</v>
      </c>
      <c r="AS19" s="15">
        <f t="shared" si="61"/>
        <v>10344827.586206896</v>
      </c>
    </row>
    <row r="21" spans="1:45" x14ac:dyDescent="0.3">
      <c r="E21" s="43"/>
    </row>
  </sheetData>
  <mergeCells count="4">
    <mergeCell ref="C1:D1"/>
    <mergeCell ref="A1:A2"/>
    <mergeCell ref="B1:B2"/>
    <mergeCell ref="E1:E2"/>
  </mergeCells>
  <conditionalFormatting sqref="I15:AS16 F15:G16 F17:AS19 F3:AS10 F11:H12">
    <cfRule type="cellIs" dxfId="6" priority="19" operator="greaterThan">
      <formula>0</formula>
    </cfRule>
  </conditionalFormatting>
  <conditionalFormatting sqref="AS11:AS14 AP11:AR12 AO11:AO14 AL11:AN12 AK11:AK14 AH11:AJ12 AG11:AG14 AD11:AF12 AC11:AC14 Z11:AB12 Y11:Y14 V11:X12 U11:U14 R11:T12 Q11:Q14 N11:P12 M11:M14 J11:L12 I11:I14">
    <cfRule type="cellIs" dxfId="5" priority="13" operator="greaterThan">
      <formula>0</formula>
    </cfRule>
  </conditionalFormatting>
  <conditionalFormatting sqref="F13:H13 J13:L13 R13:T13 V13:X13 Z13:AB13 AD13:AF13 AH13:AJ13 AL13:AN13 AP13:AR13 N13:P13">
    <cfRule type="cellIs" dxfId="4" priority="12" operator="greaterThan">
      <formula>0</formula>
    </cfRule>
  </conditionalFormatting>
  <conditionalFormatting sqref="F14:H14 J14:L14 N14:P14 R14:T14 V14:X14 Z14:AB14 AD14:AF14 AH14:AJ14 AL14:AN14 AP14:AR14 H15:H16">
    <cfRule type="cellIs" dxfId="3" priority="11" operator="greaterThan">
      <formula>0</formula>
    </cfRule>
  </conditionalFormatting>
  <conditionalFormatting sqref="A4:A7 E5:E6">
    <cfRule type="duplicateValues" dxfId="2" priority="6"/>
  </conditionalFormatting>
  <conditionalFormatting sqref="B4:B7">
    <cfRule type="duplicateValues" dxfId="1" priority="4"/>
  </conditionalFormatting>
  <conditionalFormatting sqref="B8:B19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Султанова Кристина Александровна</dc:creator>
  <cp:lastModifiedBy>Чухрай Екатерина Геннадьевна</cp:lastModifiedBy>
  <dcterms:created xsi:type="dcterms:W3CDTF">2024-04-16T07:13:31Z</dcterms:created>
  <dcterms:modified xsi:type="dcterms:W3CDTF">2025-05-23T05:38:53Z</dcterms:modified>
</cp:coreProperties>
</file>